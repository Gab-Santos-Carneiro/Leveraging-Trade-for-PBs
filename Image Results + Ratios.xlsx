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briel/Desktop/Artigos/Em construção/Planetary Boundaries/"/>
    </mc:Choice>
  </mc:AlternateContent>
  <xr:revisionPtr revIDLastSave="0" documentId="13_ncr:1_{783774EE-C11F-7F44-BDFE-A0BC728215A5}" xr6:coauthVersionLast="47" xr6:coauthVersionMax="47" xr10:uidLastSave="{00000000-0000-0000-0000-000000000000}"/>
  <bookViews>
    <workbookView xWindow="0" yWindow="620" windowWidth="28800" windowHeight="17380" xr2:uid="{1200B013-4F6B-FB49-9E0E-865190F33E3D}"/>
  </bookViews>
  <sheets>
    <sheet name="Figure 1 " sheetId="3" r:id="rId1"/>
    <sheet name="Figure 2" sheetId="4" r:id="rId2"/>
    <sheet name="Figure 3 - Sankeys Data" sheetId="1" r:id="rId3"/>
    <sheet name="Figure 4 - Radar Charts" sheetId="2" r:id="rId4"/>
    <sheet name="Ratios and Shares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5" l="1"/>
  <c r="B42" i="5"/>
  <c r="J25" i="5"/>
  <c r="I25" i="5"/>
  <c r="Q29" i="5"/>
  <c r="P29" i="5"/>
  <c r="J27" i="5"/>
  <c r="I27" i="5"/>
  <c r="Q25" i="5"/>
  <c r="P25" i="5"/>
  <c r="C38" i="5"/>
  <c r="B38" i="5"/>
  <c r="C45" i="5"/>
  <c r="B45" i="5"/>
  <c r="Q23" i="5"/>
  <c r="P23" i="5"/>
  <c r="Q21" i="5"/>
  <c r="P21" i="5"/>
  <c r="J28" i="5"/>
  <c r="I28" i="5"/>
  <c r="C43" i="5"/>
  <c r="B43" i="5"/>
  <c r="C39" i="5"/>
  <c r="B39" i="5"/>
  <c r="J23" i="5"/>
  <c r="I23" i="5"/>
  <c r="Q24" i="5"/>
  <c r="P24" i="5"/>
  <c r="J19" i="5"/>
  <c r="I19" i="5"/>
  <c r="J24" i="5"/>
  <c r="I24" i="5"/>
  <c r="Q28" i="5"/>
  <c r="P28" i="5"/>
  <c r="C36" i="5"/>
  <c r="B36" i="5"/>
  <c r="J20" i="5"/>
  <c r="I20" i="5"/>
  <c r="Q19" i="5"/>
  <c r="P19" i="5"/>
  <c r="C40" i="5"/>
  <c r="B40" i="5"/>
  <c r="S27" i="5"/>
  <c r="L27" i="5"/>
  <c r="E27" i="5"/>
  <c r="B27" i="5"/>
  <c r="C27" i="5"/>
  <c r="E43" i="5"/>
  <c r="C35" i="5"/>
  <c r="B35" i="5"/>
  <c r="J26" i="5"/>
  <c r="I26" i="5"/>
  <c r="C37" i="5"/>
  <c r="B37" i="5"/>
  <c r="J21" i="5"/>
  <c r="I21" i="5"/>
  <c r="Q22" i="5"/>
  <c r="P22" i="5"/>
  <c r="S29" i="5"/>
  <c r="E29" i="5"/>
  <c r="L29" i="5"/>
  <c r="B29" i="5"/>
  <c r="C29" i="5"/>
  <c r="E45" i="5"/>
  <c r="E39" i="5"/>
  <c r="L23" i="5"/>
  <c r="E23" i="5"/>
  <c r="B23" i="5"/>
  <c r="C23" i="5"/>
  <c r="S23" i="5"/>
  <c r="C44" i="5"/>
  <c r="B44" i="5"/>
  <c r="E22" i="5"/>
  <c r="L22" i="5"/>
  <c r="E38" i="5"/>
  <c r="B22" i="5"/>
  <c r="C22" i="5"/>
  <c r="S22" i="5"/>
  <c r="S20" i="5"/>
  <c r="E36" i="5"/>
  <c r="L20" i="5"/>
  <c r="B20" i="5"/>
  <c r="C20" i="5"/>
  <c r="E20" i="5"/>
  <c r="L26" i="5"/>
  <c r="E26" i="5"/>
  <c r="E42" i="5"/>
  <c r="B26" i="5"/>
  <c r="C26" i="5"/>
  <c r="S26" i="5"/>
  <c r="E21" i="5"/>
  <c r="E37" i="5"/>
  <c r="S21" i="5"/>
  <c r="B21" i="5"/>
  <c r="C21" i="5"/>
  <c r="L21" i="5"/>
  <c r="Q20" i="5"/>
  <c r="P20" i="5"/>
  <c r="L28" i="5"/>
  <c r="S28" i="5"/>
  <c r="E28" i="5"/>
  <c r="B28" i="5"/>
  <c r="C28" i="5"/>
  <c r="E44" i="5"/>
  <c r="S25" i="5"/>
  <c r="E25" i="5"/>
  <c r="E41" i="5"/>
  <c r="B25" i="5"/>
  <c r="C25" i="5"/>
  <c r="L25" i="5"/>
  <c r="D37" i="5"/>
  <c r="D38" i="5"/>
  <c r="D26" i="5"/>
  <c r="K28" i="5"/>
  <c r="R24" i="5"/>
  <c r="K21" i="5"/>
  <c r="D43" i="5"/>
  <c r="R29" i="5"/>
  <c r="D42" i="5"/>
  <c r="R19" i="5"/>
  <c r="D27" i="5"/>
  <c r="K20" i="5"/>
  <c r="D44" i="5"/>
  <c r="D20" i="5"/>
  <c r="R27" i="5"/>
  <c r="K26" i="5"/>
  <c r="D28" i="5"/>
  <c r="K25" i="5"/>
  <c r="D25" i="5"/>
  <c r="R26" i="5"/>
  <c r="K24" i="5"/>
  <c r="R21" i="5"/>
  <c r="D19" i="5"/>
  <c r="D45" i="5"/>
  <c r="K29" i="5"/>
  <c r="D22" i="5"/>
  <c r="R23" i="5"/>
  <c r="K19" i="5"/>
  <c r="D24" i="5"/>
  <c r="D40" i="5"/>
  <c r="D35" i="5"/>
  <c r="D36" i="5"/>
  <c r="R28" i="5"/>
  <c r="R25" i="5"/>
  <c r="D39" i="5"/>
  <c r="D21" i="5"/>
  <c r="D23" i="5"/>
  <c r="D41" i="5"/>
  <c r="R22" i="5"/>
  <c r="D29" i="5"/>
  <c r="K23" i="5"/>
  <c r="K22" i="5"/>
  <c r="R20" i="5"/>
  <c r="K27" i="5"/>
  <c r="E35" i="5"/>
  <c r="L19" i="5"/>
  <c r="E19" i="5"/>
  <c r="C19" i="5"/>
  <c r="S19" i="5"/>
  <c r="E40" i="5"/>
  <c r="S24" i="5"/>
  <c r="L24" i="5"/>
  <c r="B24" i="5"/>
  <c r="C24" i="5"/>
  <c r="E24" i="5"/>
  <c r="P26" i="5"/>
  <c r="Q26" i="5"/>
  <c r="B41" i="5"/>
  <c r="C41" i="5"/>
  <c r="P27" i="5"/>
  <c r="Q27" i="5"/>
  <c r="I22" i="5"/>
  <c r="J22" i="5"/>
  <c r="B19" i="5"/>
  <c r="I29" i="5"/>
  <c r="J29" i="5"/>
</calcChain>
</file>

<file path=xl/sharedStrings.xml><?xml version="1.0" encoding="utf-8"?>
<sst xmlns="http://schemas.openxmlformats.org/spreadsheetml/2006/main" count="424" uniqueCount="63">
  <si>
    <t>Export</t>
  </si>
  <si>
    <t>Import</t>
  </si>
  <si>
    <t>HEAP</t>
  </si>
  <si>
    <t>MEAP</t>
  </si>
  <si>
    <t>HECA</t>
  </si>
  <si>
    <t>MECA</t>
  </si>
  <si>
    <t>HLAC</t>
  </si>
  <si>
    <t>MLAC</t>
  </si>
  <si>
    <t>HMENA</t>
  </si>
  <si>
    <t>MMENA</t>
  </si>
  <si>
    <t>NA</t>
  </si>
  <si>
    <t>SA</t>
  </si>
  <si>
    <t>SSA</t>
  </si>
  <si>
    <t>Biogeochemical Flows</t>
  </si>
  <si>
    <t>Biosphere Integrity</t>
  </si>
  <si>
    <t>Land-System Change</t>
  </si>
  <si>
    <t>Blue Water Consumption</t>
  </si>
  <si>
    <t>Water Stress</t>
  </si>
  <si>
    <t>Climate Change</t>
  </si>
  <si>
    <t>Novel Entities</t>
  </si>
  <si>
    <t>Biogeochemical Flows (tonnes)</t>
  </si>
  <si>
    <t>Biosphere Integrity (PDF)</t>
  </si>
  <si>
    <t>Land-System Change (hectares)</t>
  </si>
  <si>
    <t>Blue Water Consumption (Mm3)</t>
  </si>
  <si>
    <t>Water Stress (Mm3)</t>
  </si>
  <si>
    <t>Climate Change (kilotonnes)</t>
  </si>
  <si>
    <t>Novel Entities (tonnes)</t>
  </si>
  <si>
    <t>Exports</t>
  </si>
  <si>
    <t>Imports</t>
  </si>
  <si>
    <t>Source</t>
  </si>
  <si>
    <t>Biogeochemical Flows (%)</t>
  </si>
  <si>
    <t>Biosphere Integrity (%)</t>
  </si>
  <si>
    <t>Land-System Change (%)</t>
  </si>
  <si>
    <t>Blue Water Consumption (%)</t>
  </si>
  <si>
    <t>Water Stress (%)</t>
  </si>
  <si>
    <t>Climate Change (%)</t>
  </si>
  <si>
    <t>Novel Entities (%)</t>
  </si>
  <si>
    <t>LAC</t>
  </si>
  <si>
    <t>MENA_H</t>
  </si>
  <si>
    <t>MENA_M</t>
  </si>
  <si>
    <t>ECA_M</t>
  </si>
  <si>
    <t>ECA_H</t>
  </si>
  <si>
    <t>EAP_H</t>
  </si>
  <si>
    <t>EAP_M</t>
  </si>
  <si>
    <t>Goods traded only for interindustry consumption (%)</t>
  </si>
  <si>
    <t>Goods traded only for final consumption (%)</t>
  </si>
  <si>
    <t>Goods traded for interindustry and final consumption (%)</t>
  </si>
  <si>
    <t>Not traded (%)</t>
  </si>
  <si>
    <t>Biogeochemical flows: P and N cycles</t>
  </si>
  <si>
    <t>Change in biosphere integrity</t>
  </si>
  <si>
    <t>Land system change</t>
  </si>
  <si>
    <t>Blue water consumption</t>
  </si>
  <si>
    <t>Water stress</t>
  </si>
  <si>
    <t>Climate change</t>
  </si>
  <si>
    <t>Novel entities</t>
  </si>
  <si>
    <t>PBs</t>
  </si>
  <si>
    <t>High Income Countries (%)</t>
  </si>
  <si>
    <t>Medium Income Countries (%)</t>
  </si>
  <si>
    <t>Low Income Countries (%)</t>
  </si>
  <si>
    <t>Import Ratio</t>
  </si>
  <si>
    <t>Export Ratio</t>
  </si>
  <si>
    <t>Share Import</t>
  </si>
  <si>
    <t>Share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</si>
</sst>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/>
    <xf numFmtId="2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0" fontId="0" fillId="0" borderId="0" xfId="0" applyNumberFormat="1"/>
    <xf numFmtId="0" fontId="4" fillId="0" borderId="0" xfId="0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3BD74-A7B5-C34F-91E8-7930D12EC40E}">
  <dimension ref="A1:E8"/>
  <sheetViews>
    <sheetView tabSelected="1" workbookViewId="0">
      <selection activeCell="B13" sqref="B13"/>
    </sheetView>
  </sheetViews>
  <sheetFormatPr baseColWidth="10" defaultRowHeight="16" x14ac:dyDescent="0.2"/>
  <cols>
    <col min="1" max="1" width="31.5" bestFit="1" customWidth="1"/>
    <col min="2" max="2" width="27.83203125" customWidth="1"/>
    <col min="3" max="3" width="26.83203125" customWidth="1"/>
    <col min="4" max="4" width="32.33203125" customWidth="1"/>
    <col min="5" max="5" width="13" bestFit="1" customWidth="1"/>
  </cols>
  <sheetData>
    <row r="1" spans="1:5" ht="34" x14ac:dyDescent="0.2">
      <c r="A1" s="8" t="s">
        <v>55</v>
      </c>
      <c r="B1" s="7" t="s">
        <v>44</v>
      </c>
      <c r="C1" s="7" t="s">
        <v>45</v>
      </c>
      <c r="D1" s="7" t="s">
        <v>46</v>
      </c>
      <c r="E1" s="7" t="s">
        <v>47</v>
      </c>
    </row>
    <row r="2" spans="1:5" x14ac:dyDescent="0.2">
      <c r="A2" s="2" t="s">
        <v>48</v>
      </c>
      <c r="B2" s="4">
        <v>9.5100999999999996</v>
      </c>
      <c r="C2" s="4">
        <v>8.5121400000000005</v>
      </c>
      <c r="D2" s="4">
        <v>2.1687729999999998</v>
      </c>
      <c r="E2" s="4">
        <v>79.808989999999994</v>
      </c>
    </row>
    <row r="3" spans="1:5" x14ac:dyDescent="0.2">
      <c r="A3" s="2" t="s">
        <v>49</v>
      </c>
      <c r="B3" s="4">
        <v>12.554249</v>
      </c>
      <c r="C3" s="4">
        <v>11.102753</v>
      </c>
      <c r="D3" s="4">
        <v>2.2695850000000002</v>
      </c>
      <c r="E3" s="4">
        <v>74.073409999999996</v>
      </c>
    </row>
    <row r="4" spans="1:5" x14ac:dyDescent="0.2">
      <c r="A4" s="2" t="s">
        <v>50</v>
      </c>
      <c r="B4" s="4">
        <v>15.719101</v>
      </c>
      <c r="C4" s="4">
        <v>10.158740999999999</v>
      </c>
      <c r="D4" s="4">
        <v>2.6967249999999998</v>
      </c>
      <c r="E4" s="4">
        <v>71.425430000000006</v>
      </c>
    </row>
    <row r="5" spans="1:5" x14ac:dyDescent="0.2">
      <c r="A5" s="2" t="s">
        <v>51</v>
      </c>
      <c r="B5" s="4">
        <v>9.044988</v>
      </c>
      <c r="C5" s="4">
        <v>10.719975</v>
      </c>
      <c r="D5" s="4">
        <v>2.2780450000000001</v>
      </c>
      <c r="E5" s="4">
        <v>77.956990000000005</v>
      </c>
    </row>
    <row r="6" spans="1:5" x14ac:dyDescent="0.2">
      <c r="A6" s="2" t="s">
        <v>52</v>
      </c>
      <c r="B6" s="4">
        <v>7.4520569999999999</v>
      </c>
      <c r="C6" s="4">
        <v>10.003767</v>
      </c>
      <c r="D6" s="4">
        <v>2.0068670000000002</v>
      </c>
      <c r="E6" s="4">
        <v>80.537310000000005</v>
      </c>
    </row>
    <row r="7" spans="1:5" x14ac:dyDescent="0.2">
      <c r="A7" s="2" t="s">
        <v>53</v>
      </c>
      <c r="B7" s="4">
        <v>14.164717</v>
      </c>
      <c r="C7" s="4">
        <v>8.2466460000000001</v>
      </c>
      <c r="D7" s="4">
        <v>4.1496750000000002</v>
      </c>
      <c r="E7" s="4">
        <v>73.438969999999998</v>
      </c>
    </row>
    <row r="8" spans="1:5" x14ac:dyDescent="0.2">
      <c r="A8" s="2" t="s">
        <v>54</v>
      </c>
      <c r="B8" s="4">
        <v>25.80836</v>
      </c>
      <c r="C8" s="4">
        <v>16.156541000000001</v>
      </c>
      <c r="D8" s="4">
        <v>8.6594580000000008</v>
      </c>
      <c r="E8" s="4">
        <v>49.375639999999997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128FA-5E48-6E49-BA46-88B843F8AE84}">
  <dimension ref="A1:E8"/>
  <sheetViews>
    <sheetView workbookViewId="0">
      <selection activeCell="C8" sqref="C8"/>
    </sheetView>
  </sheetViews>
  <sheetFormatPr baseColWidth="10" defaultRowHeight="16" x14ac:dyDescent="0.2"/>
  <cols>
    <col min="1" max="1" width="31.5" bestFit="1" customWidth="1"/>
    <col min="2" max="2" width="15.5" customWidth="1"/>
    <col min="3" max="3" width="18.33203125" customWidth="1"/>
    <col min="4" max="4" width="16.33203125" customWidth="1"/>
  </cols>
  <sheetData>
    <row r="1" spans="1:5" ht="34" x14ac:dyDescent="0.2">
      <c r="A1" s="8" t="s">
        <v>55</v>
      </c>
      <c r="B1" s="6" t="s">
        <v>56</v>
      </c>
      <c r="C1" s="6" t="s">
        <v>57</v>
      </c>
      <c r="D1" s="6" t="s">
        <v>58</v>
      </c>
      <c r="E1" s="2"/>
    </row>
    <row r="2" spans="1:5" x14ac:dyDescent="0.2">
      <c r="A2" s="1" t="s">
        <v>48</v>
      </c>
      <c r="B2" s="4">
        <v>44.08475</v>
      </c>
      <c r="C2" s="4">
        <v>41.993699999999997</v>
      </c>
      <c r="D2" s="4">
        <v>13.871510000000001</v>
      </c>
      <c r="E2" s="5"/>
    </row>
    <row r="3" spans="1:5" x14ac:dyDescent="0.2">
      <c r="A3" s="1" t="s">
        <v>49</v>
      </c>
      <c r="B3" s="4">
        <v>41.506700000000002</v>
      </c>
      <c r="C3" s="4">
        <v>42.908740000000002</v>
      </c>
      <c r="D3" s="4">
        <v>15.58361</v>
      </c>
      <c r="E3" s="5"/>
    </row>
    <row r="4" spans="1:5" x14ac:dyDescent="0.2">
      <c r="A4" s="1" t="s">
        <v>50</v>
      </c>
      <c r="B4" s="4">
        <v>43.748559999999998</v>
      </c>
      <c r="C4" s="4">
        <v>44.080849999999998</v>
      </c>
      <c r="D4" s="4">
        <v>12.195690000000001</v>
      </c>
      <c r="E4" s="5"/>
    </row>
    <row r="5" spans="1:5" x14ac:dyDescent="0.2">
      <c r="A5" s="1" t="s">
        <v>51</v>
      </c>
      <c r="B5" s="4">
        <v>43.069339999999997</v>
      </c>
      <c r="C5" s="4">
        <v>34.70608</v>
      </c>
      <c r="D5" s="4">
        <v>22.23358</v>
      </c>
      <c r="E5" s="5"/>
    </row>
    <row r="6" spans="1:5" x14ac:dyDescent="0.2">
      <c r="A6" s="1" t="s">
        <v>52</v>
      </c>
      <c r="B6" s="4">
        <v>43.131360000000001</v>
      </c>
      <c r="C6" s="4">
        <v>34.535649999999997</v>
      </c>
      <c r="D6" s="4">
        <v>22.28032</v>
      </c>
      <c r="E6" s="5"/>
    </row>
    <row r="7" spans="1:5" x14ac:dyDescent="0.2">
      <c r="A7" s="1" t="s">
        <v>53</v>
      </c>
      <c r="B7" s="4">
        <v>53.567050000000002</v>
      </c>
      <c r="C7" s="4">
        <v>34.153880000000001</v>
      </c>
      <c r="D7" s="4">
        <v>12.40071</v>
      </c>
      <c r="E7" s="5"/>
    </row>
    <row r="8" spans="1:5" x14ac:dyDescent="0.2">
      <c r="A8" s="1" t="s">
        <v>54</v>
      </c>
      <c r="B8" s="4">
        <v>61.384250000000002</v>
      </c>
      <c r="C8" s="4">
        <v>30.476410000000001</v>
      </c>
      <c r="D8" s="4">
        <v>8.1621810000000004</v>
      </c>
      <c r="E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E7B9F-246B-C049-9BC0-CE3C7914DDCC}">
  <dimension ref="A1:I122"/>
  <sheetViews>
    <sheetView workbookViewId="0">
      <selection activeCell="B1" sqref="A1:B1"/>
    </sheetView>
  </sheetViews>
  <sheetFormatPr baseColWidth="10" defaultRowHeight="16" x14ac:dyDescent="0.2"/>
  <cols>
    <col min="3" max="3" width="14.5" customWidth="1"/>
    <col min="4" max="4" width="13.33203125" customWidth="1"/>
    <col min="5" max="5" width="19" customWidth="1"/>
    <col min="6" max="6" width="18.6640625" customWidth="1"/>
    <col min="7" max="7" width="12.33203125" customWidth="1"/>
    <col min="8" max="8" width="17.5" customWidth="1"/>
    <col min="9" max="9" width="14.83203125" customWidth="1"/>
  </cols>
  <sheetData>
    <row r="1" spans="1:9" ht="34" x14ac:dyDescent="0.2">
      <c r="A1" s="8" t="s">
        <v>0</v>
      </c>
      <c r="B1" s="8" t="s">
        <v>1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</row>
    <row r="2" spans="1:9" x14ac:dyDescent="0.2">
      <c r="A2" s="1" t="s">
        <v>2</v>
      </c>
      <c r="B2" s="1" t="s">
        <v>2</v>
      </c>
      <c r="C2" s="1">
        <v>80283.085000000006</v>
      </c>
      <c r="D2" s="1">
        <v>3.6962572700000002E-4</v>
      </c>
      <c r="E2" s="1">
        <v>30187.887299999999</v>
      </c>
      <c r="F2" s="1">
        <v>2156.1646999999998</v>
      </c>
      <c r="G2" s="1">
        <v>26494.131000000001</v>
      </c>
      <c r="H2" s="1">
        <v>87971.56</v>
      </c>
      <c r="I2" s="1">
        <v>13725.969800000001</v>
      </c>
    </row>
    <row r="3" spans="1:9" x14ac:dyDescent="0.2">
      <c r="A3" s="1" t="s">
        <v>3</v>
      </c>
      <c r="B3" s="1" t="s">
        <v>2</v>
      </c>
      <c r="C3" s="1">
        <v>1920534.6640000001</v>
      </c>
      <c r="D3" s="1">
        <v>7.8205938799999996E-4</v>
      </c>
      <c r="E3" s="1">
        <v>31551.616600000001</v>
      </c>
      <c r="F3" s="1">
        <v>8644.1476000000002</v>
      </c>
      <c r="G3" s="1">
        <v>202831.17</v>
      </c>
      <c r="H3" s="1">
        <v>560746.21</v>
      </c>
      <c r="I3" s="1">
        <v>35618.500999999997</v>
      </c>
    </row>
    <row r="4" spans="1:9" x14ac:dyDescent="0.2">
      <c r="A4" s="1" t="s">
        <v>4</v>
      </c>
      <c r="B4" s="1" t="s">
        <v>2</v>
      </c>
      <c r="C4" s="1">
        <v>76033.054000000004</v>
      </c>
      <c r="D4" s="1">
        <v>3.7200602000000003E-5</v>
      </c>
      <c r="E4" s="1">
        <v>5185.7855</v>
      </c>
      <c r="F4" s="1">
        <v>672.17160000000001</v>
      </c>
      <c r="G4" s="1">
        <v>21456.347000000002</v>
      </c>
      <c r="H4" s="1">
        <v>45575.56</v>
      </c>
      <c r="I4" s="1">
        <v>21069.6446</v>
      </c>
    </row>
    <row r="5" spans="1:9" x14ac:dyDescent="0.2">
      <c r="A5" s="1" t="s">
        <v>5</v>
      </c>
      <c r="B5" s="1" t="s">
        <v>2</v>
      </c>
      <c r="C5" s="1">
        <v>81112.322</v>
      </c>
      <c r="D5" s="1">
        <v>6.5930358000000007E-5</v>
      </c>
      <c r="E5" s="1">
        <v>21329.8233</v>
      </c>
      <c r="F5" s="1">
        <v>470.62689999999998</v>
      </c>
      <c r="G5" s="1">
        <v>10172.210999999999</v>
      </c>
      <c r="H5" s="1">
        <v>83920.79</v>
      </c>
      <c r="I5" s="1">
        <v>765.52980000000002</v>
      </c>
    </row>
    <row r="6" spans="1:9" x14ac:dyDescent="0.2">
      <c r="A6" s="1" t="s">
        <v>6</v>
      </c>
      <c r="B6" s="1" t="s">
        <v>2</v>
      </c>
      <c r="C6" s="1">
        <v>15866.359</v>
      </c>
      <c r="D6" s="1">
        <v>1.2242427E-5</v>
      </c>
      <c r="E6" s="1">
        <v>1311.8116</v>
      </c>
      <c r="F6" s="1">
        <v>158.85919999999999</v>
      </c>
      <c r="G6" s="1">
        <v>1892.249</v>
      </c>
      <c r="H6" s="1">
        <v>6276.34</v>
      </c>
      <c r="I6" s="1">
        <v>291.77510000000001</v>
      </c>
    </row>
    <row r="7" spans="1:9" x14ac:dyDescent="0.2">
      <c r="A7" s="1" t="s">
        <v>7</v>
      </c>
      <c r="B7" s="1" t="s">
        <v>2</v>
      </c>
      <c r="C7" s="1">
        <v>798676.26599999995</v>
      </c>
      <c r="D7" s="1">
        <v>3.3548402100000001E-4</v>
      </c>
      <c r="E7" s="1">
        <v>15102.0147</v>
      </c>
      <c r="F7" s="1">
        <v>914.14779999999996</v>
      </c>
      <c r="G7" s="1">
        <v>8644.66</v>
      </c>
      <c r="H7" s="1">
        <v>71854.09</v>
      </c>
      <c r="I7" s="1">
        <v>1012.6335</v>
      </c>
    </row>
    <row r="8" spans="1:9" x14ac:dyDescent="0.2">
      <c r="A8" s="1" t="s">
        <v>8</v>
      </c>
      <c r="B8" s="1" t="s">
        <v>2</v>
      </c>
      <c r="C8" s="1">
        <v>8743.3379999999997</v>
      </c>
      <c r="D8" s="1">
        <v>5.6934039999999997E-6</v>
      </c>
      <c r="E8" s="1">
        <v>1498.1498999999999</v>
      </c>
      <c r="F8" s="1">
        <v>130.7852</v>
      </c>
      <c r="G8" s="1">
        <v>3123.989</v>
      </c>
      <c r="H8" s="1">
        <v>45301.82</v>
      </c>
      <c r="I8" s="1">
        <v>2045.202</v>
      </c>
    </row>
    <row r="9" spans="1:9" x14ac:dyDescent="0.2">
      <c r="A9" s="1" t="s">
        <v>9</v>
      </c>
      <c r="B9" s="1" t="s">
        <v>2</v>
      </c>
      <c r="C9" s="1">
        <v>22962.835999999999</v>
      </c>
      <c r="D9" s="1">
        <v>4.0023949999999996E-6</v>
      </c>
      <c r="E9" s="1">
        <v>458.43869999999998</v>
      </c>
      <c r="F9" s="1">
        <v>671.34939999999995</v>
      </c>
      <c r="G9" s="1">
        <v>43640.167999999998</v>
      </c>
      <c r="H9" s="1">
        <v>30540.16</v>
      </c>
      <c r="I9" s="1">
        <v>410.89839999999998</v>
      </c>
    </row>
    <row r="10" spans="1:9" x14ac:dyDescent="0.2">
      <c r="A10" s="1" t="s">
        <v>10</v>
      </c>
      <c r="B10" s="1" t="s">
        <v>2</v>
      </c>
      <c r="C10" s="1">
        <v>1102376.6569999999</v>
      </c>
      <c r="D10" s="1">
        <v>9.6969949999999998E-5</v>
      </c>
      <c r="E10" s="1">
        <v>46392.510799999996</v>
      </c>
      <c r="F10" s="1">
        <v>4458.9201000000003</v>
      </c>
      <c r="G10" s="1">
        <v>90206.96</v>
      </c>
      <c r="H10" s="1">
        <v>130311.16</v>
      </c>
      <c r="I10" s="1">
        <v>10106.658299999999</v>
      </c>
    </row>
    <row r="11" spans="1:9" x14ac:dyDescent="0.2">
      <c r="A11" s="1" t="s">
        <v>11</v>
      </c>
      <c r="B11" s="1" t="s">
        <v>2</v>
      </c>
      <c r="C11" s="1">
        <v>58115.489000000001</v>
      </c>
      <c r="D11" s="1">
        <v>2.4678475999999999E-5</v>
      </c>
      <c r="E11" s="1">
        <v>917.89980000000003</v>
      </c>
      <c r="F11" s="1">
        <v>2543.8991000000001</v>
      </c>
      <c r="G11" s="1">
        <v>60281.087</v>
      </c>
      <c r="H11" s="1">
        <v>55775.33</v>
      </c>
      <c r="I11" s="1">
        <v>1950.5307</v>
      </c>
    </row>
    <row r="12" spans="1:9" x14ac:dyDescent="0.2">
      <c r="A12" s="1" t="s">
        <v>12</v>
      </c>
      <c r="B12" s="1" t="s">
        <v>2</v>
      </c>
      <c r="C12" s="1">
        <v>112069.20699999999</v>
      </c>
      <c r="D12" s="1">
        <v>4.6588738999999997E-5</v>
      </c>
      <c r="E12" s="1">
        <v>4614.7946000000002</v>
      </c>
      <c r="F12" s="1">
        <v>407.89429999999999</v>
      </c>
      <c r="G12" s="1">
        <v>7173.7960000000003</v>
      </c>
      <c r="H12" s="1">
        <v>40569.58</v>
      </c>
      <c r="I12" s="1">
        <v>408.79629999999997</v>
      </c>
    </row>
    <row r="13" spans="1:9" x14ac:dyDescent="0.2">
      <c r="A13" s="1" t="s">
        <v>2</v>
      </c>
      <c r="B13" s="1" t="s">
        <v>3</v>
      </c>
      <c r="C13" s="1">
        <v>296037.84999999998</v>
      </c>
      <c r="D13" s="1">
        <v>1.8824947E-3</v>
      </c>
      <c r="E13" s="1">
        <v>180372.9472</v>
      </c>
      <c r="F13" s="1">
        <v>3582.9149000000002</v>
      </c>
      <c r="G13" s="1">
        <v>45783.803</v>
      </c>
      <c r="H13" s="1">
        <v>260216.77</v>
      </c>
      <c r="I13" s="1">
        <v>57216.563999999998</v>
      </c>
    </row>
    <row r="14" spans="1:9" x14ac:dyDescent="0.2">
      <c r="A14" s="1" t="s">
        <v>3</v>
      </c>
      <c r="B14" s="1" t="s">
        <v>3</v>
      </c>
      <c r="C14" s="1">
        <v>1920398.9</v>
      </c>
      <c r="D14" s="1">
        <v>1.2576478299999999E-3</v>
      </c>
      <c r="E14" s="1">
        <v>41908.859100000001</v>
      </c>
      <c r="F14" s="1">
        <v>11287.7868</v>
      </c>
      <c r="G14" s="1">
        <v>140688.11199999999</v>
      </c>
      <c r="H14" s="1">
        <v>607441.93000000005</v>
      </c>
      <c r="I14" s="1">
        <v>29534.353999999999</v>
      </c>
    </row>
    <row r="15" spans="1:9" x14ac:dyDescent="0.2">
      <c r="A15" s="1" t="s">
        <v>4</v>
      </c>
      <c r="B15" s="1" t="s">
        <v>3</v>
      </c>
      <c r="C15" s="1">
        <v>128464.09</v>
      </c>
      <c r="D15" s="1">
        <v>5.3128670000000003E-5</v>
      </c>
      <c r="E15" s="1">
        <v>10395.444</v>
      </c>
      <c r="F15" s="1">
        <v>910.95809999999994</v>
      </c>
      <c r="G15" s="1">
        <v>21082.311000000002</v>
      </c>
      <c r="H15" s="1">
        <v>91034.79</v>
      </c>
      <c r="I15" s="1">
        <v>33675.156000000003</v>
      </c>
    </row>
    <row r="16" spans="1:9" x14ac:dyDescent="0.2">
      <c r="A16" s="1" t="s">
        <v>5</v>
      </c>
      <c r="B16" s="1" t="s">
        <v>3</v>
      </c>
      <c r="C16" s="1">
        <v>360865.73</v>
      </c>
      <c r="D16" s="1">
        <v>1.5823865999999999E-4</v>
      </c>
      <c r="E16" s="1">
        <v>104070.14690000001</v>
      </c>
      <c r="F16" s="1">
        <v>1896.2371000000001</v>
      </c>
      <c r="G16" s="1">
        <v>37092.008999999998</v>
      </c>
      <c r="H16" s="1">
        <v>253028.4</v>
      </c>
      <c r="I16" s="1">
        <v>2879.902</v>
      </c>
    </row>
    <row r="17" spans="1:9" x14ac:dyDescent="0.2">
      <c r="A17" s="1" t="s">
        <v>6</v>
      </c>
      <c r="B17" s="1" t="s">
        <v>3</v>
      </c>
      <c r="C17" s="1">
        <v>332917.7</v>
      </c>
      <c r="D17" s="1">
        <v>6.5032140000000007E-5</v>
      </c>
      <c r="E17" s="1">
        <v>7806.2091</v>
      </c>
      <c r="F17" s="1">
        <v>422.18439999999998</v>
      </c>
      <c r="G17" s="1">
        <v>4358.6030000000001</v>
      </c>
      <c r="H17" s="1">
        <v>20802.990000000002</v>
      </c>
      <c r="I17" s="1">
        <v>483.90899999999999</v>
      </c>
    </row>
    <row r="18" spans="1:9" x14ac:dyDescent="0.2">
      <c r="A18" s="1" t="s">
        <v>7</v>
      </c>
      <c r="B18" s="1" t="s">
        <v>3</v>
      </c>
      <c r="C18" s="1">
        <v>4988269.83</v>
      </c>
      <c r="D18" s="1">
        <v>1.2288412999999999E-3</v>
      </c>
      <c r="E18" s="1">
        <v>55956.921399999999</v>
      </c>
      <c r="F18" s="1">
        <v>2635.99</v>
      </c>
      <c r="G18" s="1">
        <v>32916.118999999999</v>
      </c>
      <c r="H18" s="1">
        <v>177008.92</v>
      </c>
      <c r="I18" s="1">
        <v>2948.355</v>
      </c>
    </row>
    <row r="19" spans="1:9" x14ac:dyDescent="0.2">
      <c r="A19" s="1" t="s">
        <v>8</v>
      </c>
      <c r="B19" s="1" t="s">
        <v>3</v>
      </c>
      <c r="C19" s="1">
        <v>25844.17</v>
      </c>
      <c r="D19" s="1">
        <v>1.486049E-5</v>
      </c>
      <c r="E19" s="1">
        <v>4530.1575999999995</v>
      </c>
      <c r="F19" s="1">
        <v>389.78820000000002</v>
      </c>
      <c r="G19" s="1">
        <v>6280.0119999999997</v>
      </c>
      <c r="H19" s="1">
        <v>106991.5</v>
      </c>
      <c r="I19" s="1">
        <v>8697.6919999999991</v>
      </c>
    </row>
    <row r="20" spans="1:9" x14ac:dyDescent="0.2">
      <c r="A20" s="1" t="s">
        <v>9</v>
      </c>
      <c r="B20" s="1" t="s">
        <v>3</v>
      </c>
      <c r="C20" s="1">
        <v>32066.53</v>
      </c>
      <c r="D20" s="1">
        <v>4.74261E-6</v>
      </c>
      <c r="E20" s="1">
        <v>612.2944</v>
      </c>
      <c r="F20" s="1">
        <v>1043.0494000000001</v>
      </c>
      <c r="G20" s="1">
        <v>74080.631999999998</v>
      </c>
      <c r="H20" s="1">
        <v>107949.78</v>
      </c>
      <c r="I20" s="1">
        <v>2754.8789999999999</v>
      </c>
    </row>
    <row r="21" spans="1:9" x14ac:dyDescent="0.2">
      <c r="A21" s="1" t="s">
        <v>10</v>
      </c>
      <c r="B21" s="1" t="s">
        <v>3</v>
      </c>
      <c r="C21" s="1">
        <v>3666676.99</v>
      </c>
      <c r="D21" s="1">
        <v>3.6937427000000001E-4</v>
      </c>
      <c r="E21" s="1">
        <v>111431.71709999999</v>
      </c>
      <c r="F21" s="1">
        <v>15505.312400000001</v>
      </c>
      <c r="G21" s="1">
        <v>504730.049</v>
      </c>
      <c r="H21" s="1">
        <v>204486.27</v>
      </c>
      <c r="I21" s="1">
        <v>15821.234</v>
      </c>
    </row>
    <row r="22" spans="1:9" x14ac:dyDescent="0.2">
      <c r="A22" s="1" t="s">
        <v>11</v>
      </c>
      <c r="B22" s="1" t="s">
        <v>3</v>
      </c>
      <c r="C22" s="1">
        <v>224188.35</v>
      </c>
      <c r="D22" s="1">
        <v>1.1423485E-4</v>
      </c>
      <c r="E22" s="1">
        <v>3996.4315999999999</v>
      </c>
      <c r="F22" s="1">
        <v>9342.7106000000003</v>
      </c>
      <c r="G22" s="1">
        <v>217692.96599999999</v>
      </c>
      <c r="H22" s="1">
        <v>128598.12</v>
      </c>
      <c r="I22" s="1">
        <v>5493.5709999999999</v>
      </c>
    </row>
    <row r="23" spans="1:9" x14ac:dyDescent="0.2">
      <c r="A23" s="1" t="s">
        <v>12</v>
      </c>
      <c r="B23" s="1" t="s">
        <v>3</v>
      </c>
      <c r="C23" s="1">
        <v>814897.81</v>
      </c>
      <c r="D23" s="1">
        <v>2.5464637000000001E-4</v>
      </c>
      <c r="E23" s="1">
        <v>36277.604099999997</v>
      </c>
      <c r="F23" s="1">
        <v>1208.5675000000001</v>
      </c>
      <c r="G23" s="1">
        <v>27221.909</v>
      </c>
      <c r="H23" s="1">
        <v>110696.94</v>
      </c>
      <c r="I23" s="1">
        <v>1563.598</v>
      </c>
    </row>
    <row r="24" spans="1:9" x14ac:dyDescent="0.2">
      <c r="A24" s="1" t="s">
        <v>2</v>
      </c>
      <c r="B24" s="1" t="s">
        <v>4</v>
      </c>
      <c r="C24" s="1">
        <v>33361.33</v>
      </c>
      <c r="D24" s="1">
        <v>1.2286356999999999E-4</v>
      </c>
      <c r="E24" s="1">
        <v>8137.7640000000001</v>
      </c>
      <c r="F24" s="1">
        <v>582.40300000000002</v>
      </c>
      <c r="G24" s="1">
        <v>9574.09</v>
      </c>
      <c r="H24" s="1">
        <v>54560.188999999998</v>
      </c>
      <c r="I24" s="1">
        <v>10213.385399999999</v>
      </c>
    </row>
    <row r="25" spans="1:9" x14ac:dyDescent="0.2">
      <c r="A25" s="1" t="s">
        <v>3</v>
      </c>
      <c r="B25" s="1" t="s">
        <v>4</v>
      </c>
      <c r="C25" s="1">
        <v>1358351.67</v>
      </c>
      <c r="D25" s="1">
        <v>4.0265820999999999E-4</v>
      </c>
      <c r="E25" s="1">
        <v>19360.944</v>
      </c>
      <c r="F25" s="1">
        <v>6128.9354000000003</v>
      </c>
      <c r="G25" s="1">
        <v>153994.24100000001</v>
      </c>
      <c r="H25" s="1">
        <v>372323.09499999997</v>
      </c>
      <c r="I25" s="1">
        <v>27936.423500000001</v>
      </c>
    </row>
    <row r="26" spans="1:9" x14ac:dyDescent="0.2">
      <c r="A26" s="1" t="s">
        <v>4</v>
      </c>
      <c r="B26" s="1" t="s">
        <v>4</v>
      </c>
      <c r="C26" s="1">
        <v>1418643.11</v>
      </c>
      <c r="D26" s="1">
        <v>5.7751574999999995E-4</v>
      </c>
      <c r="E26" s="1">
        <v>71221.763999999996</v>
      </c>
      <c r="F26" s="1">
        <v>10288.9203</v>
      </c>
      <c r="G26" s="1">
        <v>335873.37599999999</v>
      </c>
      <c r="H26" s="1">
        <v>675312.321</v>
      </c>
      <c r="I26" s="1">
        <v>176421.2047</v>
      </c>
    </row>
    <row r="27" spans="1:9" x14ac:dyDescent="0.2">
      <c r="A27" s="1" t="s">
        <v>5</v>
      </c>
      <c r="B27" s="1" t="s">
        <v>4</v>
      </c>
      <c r="C27" s="1">
        <v>615458.56999999995</v>
      </c>
      <c r="D27" s="1">
        <v>2.2198388000000001E-4</v>
      </c>
      <c r="E27" s="1">
        <v>49426.747000000003</v>
      </c>
      <c r="F27" s="1">
        <v>2897.0225</v>
      </c>
      <c r="G27" s="1">
        <v>63046.589</v>
      </c>
      <c r="H27" s="1">
        <v>376808.44799999997</v>
      </c>
      <c r="I27" s="1">
        <v>6244.6450000000004</v>
      </c>
    </row>
    <row r="28" spans="1:9" x14ac:dyDescent="0.2">
      <c r="A28" s="1" t="s">
        <v>6</v>
      </c>
      <c r="B28" s="1" t="s">
        <v>4</v>
      </c>
      <c r="C28" s="1">
        <v>73990.210000000006</v>
      </c>
      <c r="D28" s="1">
        <v>3.0224499999999998E-5</v>
      </c>
      <c r="E28" s="1">
        <v>2083.0990000000002</v>
      </c>
      <c r="F28" s="1">
        <v>200.11750000000001</v>
      </c>
      <c r="G28" s="1">
        <v>1551.0119999999999</v>
      </c>
      <c r="H28" s="1">
        <v>8341.4140000000007</v>
      </c>
      <c r="I28" s="1">
        <v>320.7131</v>
      </c>
    </row>
    <row r="29" spans="1:9" x14ac:dyDescent="0.2">
      <c r="A29" s="1" t="s">
        <v>7</v>
      </c>
      <c r="B29" s="1" t="s">
        <v>4</v>
      </c>
      <c r="C29" s="1">
        <v>1932611.91</v>
      </c>
      <c r="D29" s="1">
        <v>6.2337765000000005E-4</v>
      </c>
      <c r="E29" s="1">
        <v>27124.17</v>
      </c>
      <c r="F29" s="1">
        <v>2211.5095999999999</v>
      </c>
      <c r="G29" s="1">
        <v>27507.133000000002</v>
      </c>
      <c r="H29" s="1">
        <v>110931.959</v>
      </c>
      <c r="I29" s="1">
        <v>2220.4949000000001</v>
      </c>
    </row>
    <row r="30" spans="1:9" x14ac:dyDescent="0.2">
      <c r="A30" s="1" t="s">
        <v>8</v>
      </c>
      <c r="B30" s="1" t="s">
        <v>4</v>
      </c>
      <c r="C30" s="1">
        <v>22929.79</v>
      </c>
      <c r="D30" s="1">
        <v>1.37968E-5</v>
      </c>
      <c r="E30" s="1">
        <v>3132.2910000000002</v>
      </c>
      <c r="F30" s="1">
        <v>300.89519999999999</v>
      </c>
      <c r="G30" s="1">
        <v>10445.296</v>
      </c>
      <c r="H30" s="1">
        <v>45703.663</v>
      </c>
      <c r="I30" s="1">
        <v>4191.8001999999997</v>
      </c>
    </row>
    <row r="31" spans="1:9" x14ac:dyDescent="0.2">
      <c r="A31" s="1" t="s">
        <v>9</v>
      </c>
      <c r="B31" s="1" t="s">
        <v>4</v>
      </c>
      <c r="C31" s="1">
        <v>86799.21</v>
      </c>
      <c r="D31" s="1">
        <v>3.5615889999999998E-5</v>
      </c>
      <c r="E31" s="1">
        <v>4752.2550000000001</v>
      </c>
      <c r="F31" s="1">
        <v>3286.0064000000002</v>
      </c>
      <c r="G31" s="1">
        <v>240166.361</v>
      </c>
      <c r="H31" s="1">
        <v>135948.22500000001</v>
      </c>
      <c r="I31" s="1">
        <v>1856.703</v>
      </c>
    </row>
    <row r="32" spans="1:9" x14ac:dyDescent="0.2">
      <c r="A32" s="1" t="s">
        <v>10</v>
      </c>
      <c r="B32" s="1" t="s">
        <v>4</v>
      </c>
      <c r="C32" s="1">
        <v>450449.91999999998</v>
      </c>
      <c r="D32" s="1">
        <v>4.6000820000000003E-5</v>
      </c>
      <c r="E32" s="1">
        <v>18765.151000000002</v>
      </c>
      <c r="F32" s="1">
        <v>1607.2547999999999</v>
      </c>
      <c r="G32" s="1">
        <v>40236.769999999997</v>
      </c>
      <c r="H32" s="1">
        <v>198454.07699999999</v>
      </c>
      <c r="I32" s="1">
        <v>17978.8357</v>
      </c>
    </row>
    <row r="33" spans="1:9" x14ac:dyDescent="0.2">
      <c r="A33" s="1" t="s">
        <v>11</v>
      </c>
      <c r="B33" s="1" t="s">
        <v>4</v>
      </c>
      <c r="C33" s="1">
        <v>159439.09</v>
      </c>
      <c r="D33" s="1">
        <v>5.28546E-5</v>
      </c>
      <c r="E33" s="1">
        <v>2076.0740000000001</v>
      </c>
      <c r="F33" s="1">
        <v>5336.9174000000003</v>
      </c>
      <c r="G33" s="1">
        <v>128589.20699999999</v>
      </c>
      <c r="H33" s="1">
        <v>113289.67</v>
      </c>
      <c r="I33" s="1">
        <v>4429.8896000000004</v>
      </c>
    </row>
    <row r="34" spans="1:9" x14ac:dyDescent="0.2">
      <c r="A34" s="1" t="s">
        <v>12</v>
      </c>
      <c r="B34" s="1" t="s">
        <v>4</v>
      </c>
      <c r="C34" s="1">
        <v>574169.91</v>
      </c>
      <c r="D34" s="1">
        <v>2.4577318000000001E-4</v>
      </c>
      <c r="E34" s="1">
        <v>28069.822</v>
      </c>
      <c r="F34" s="1">
        <v>2171.6727999999998</v>
      </c>
      <c r="G34" s="1">
        <v>42730.993000000002</v>
      </c>
      <c r="H34" s="1">
        <v>121147.405</v>
      </c>
      <c r="I34" s="1">
        <v>924.39909999999998</v>
      </c>
    </row>
    <row r="35" spans="1:9" x14ac:dyDescent="0.2">
      <c r="A35" s="1" t="s">
        <v>2</v>
      </c>
      <c r="B35" s="1" t="s">
        <v>5</v>
      </c>
      <c r="C35" s="1">
        <v>8392.2029999999995</v>
      </c>
      <c r="D35" s="1">
        <v>7.5324100000000006E-5</v>
      </c>
      <c r="E35" s="1">
        <v>7138.7640000000001</v>
      </c>
      <c r="F35" s="1">
        <v>118.15082</v>
      </c>
      <c r="G35" s="1">
        <v>2418.0295000000001</v>
      </c>
      <c r="H35" s="1">
        <v>13693</v>
      </c>
      <c r="I35" s="1">
        <v>2855.47838</v>
      </c>
    </row>
    <row r="36" spans="1:9" x14ac:dyDescent="0.2">
      <c r="A36" s="1" t="s">
        <v>3</v>
      </c>
      <c r="B36" s="1" t="s">
        <v>5</v>
      </c>
      <c r="C36" s="1">
        <v>473985.17499999999</v>
      </c>
      <c r="D36" s="1">
        <v>8.9830749999999997E-5</v>
      </c>
      <c r="E36" s="1">
        <v>3321.712</v>
      </c>
      <c r="F36" s="1">
        <v>1939.7263600000001</v>
      </c>
      <c r="G36" s="1">
        <v>54708.311199999996</v>
      </c>
      <c r="H36" s="1">
        <v>109630.33</v>
      </c>
      <c r="I36" s="1">
        <v>9142.7831200000001</v>
      </c>
    </row>
    <row r="37" spans="1:9" x14ac:dyDescent="0.2">
      <c r="A37" s="1" t="s">
        <v>4</v>
      </c>
      <c r="B37" s="1" t="s">
        <v>5</v>
      </c>
      <c r="C37" s="1">
        <v>171027.49900000001</v>
      </c>
      <c r="D37" s="1">
        <v>7.6586450000000006E-5</v>
      </c>
      <c r="E37" s="1">
        <v>7824.348</v>
      </c>
      <c r="F37" s="1">
        <v>1099.62095</v>
      </c>
      <c r="G37" s="1">
        <v>31290.691900000002</v>
      </c>
      <c r="H37" s="1">
        <v>67088.929999999993</v>
      </c>
      <c r="I37" s="1">
        <v>20422.156910000002</v>
      </c>
    </row>
    <row r="38" spans="1:9" x14ac:dyDescent="0.2">
      <c r="A38" s="1" t="s">
        <v>5</v>
      </c>
      <c r="B38" s="1" t="s">
        <v>5</v>
      </c>
      <c r="C38" s="1">
        <v>594330.71499999997</v>
      </c>
      <c r="D38" s="1">
        <v>1.5852803999999999E-4</v>
      </c>
      <c r="E38" s="1">
        <v>47155.900999999998</v>
      </c>
      <c r="F38" s="1">
        <v>5629.5179399999997</v>
      </c>
      <c r="G38" s="1">
        <v>133175.3118</v>
      </c>
      <c r="H38" s="1">
        <v>244595.95</v>
      </c>
      <c r="I38" s="1">
        <v>4548.4349300000003</v>
      </c>
    </row>
    <row r="39" spans="1:9" x14ac:dyDescent="0.2">
      <c r="A39" s="1" t="s">
        <v>6</v>
      </c>
      <c r="B39" s="1" t="s">
        <v>5</v>
      </c>
      <c r="C39" s="1">
        <v>40666.491999999998</v>
      </c>
      <c r="D39" s="1">
        <v>2.046082E-5</v>
      </c>
      <c r="E39" s="1">
        <v>2190.86</v>
      </c>
      <c r="F39" s="1">
        <v>63.737209999999997</v>
      </c>
      <c r="G39" s="1">
        <v>397.0727</v>
      </c>
      <c r="H39" s="1">
        <v>6022.25</v>
      </c>
      <c r="I39" s="1">
        <v>70.848119999999994</v>
      </c>
    </row>
    <row r="40" spans="1:9" x14ac:dyDescent="0.2">
      <c r="A40" s="1" t="s">
        <v>7</v>
      </c>
      <c r="B40" s="1" t="s">
        <v>5</v>
      </c>
      <c r="C40" s="1">
        <v>301045.05</v>
      </c>
      <c r="D40" s="1">
        <v>2.0479590999999999E-4</v>
      </c>
      <c r="E40" s="1">
        <v>6413.0749999999998</v>
      </c>
      <c r="F40" s="1">
        <v>744.03449000000001</v>
      </c>
      <c r="G40" s="1">
        <v>17685.921600000001</v>
      </c>
      <c r="H40" s="1">
        <v>31396.53</v>
      </c>
      <c r="I40" s="1">
        <v>412.38324</v>
      </c>
    </row>
    <row r="41" spans="1:9" x14ac:dyDescent="0.2">
      <c r="A41" s="1" t="s">
        <v>8</v>
      </c>
      <c r="B41" s="1" t="s">
        <v>5</v>
      </c>
      <c r="C41" s="1">
        <v>17876.832999999999</v>
      </c>
      <c r="D41" s="1">
        <v>1.191231E-5</v>
      </c>
      <c r="E41" s="1">
        <v>1557.1279999999999</v>
      </c>
      <c r="F41" s="1">
        <v>161.30683999999999</v>
      </c>
      <c r="G41" s="1">
        <v>2933.7238000000002</v>
      </c>
      <c r="H41" s="1">
        <v>16377.58</v>
      </c>
      <c r="I41" s="1">
        <v>1411.2670000000001</v>
      </c>
    </row>
    <row r="42" spans="1:9" x14ac:dyDescent="0.2">
      <c r="A42" s="1" t="s">
        <v>9</v>
      </c>
      <c r="B42" s="1" t="s">
        <v>5</v>
      </c>
      <c r="C42" s="1">
        <v>68458.876000000004</v>
      </c>
      <c r="D42" s="1">
        <v>9.4640299999999999E-6</v>
      </c>
      <c r="E42" s="1">
        <v>1196.7270000000001</v>
      </c>
      <c r="F42" s="1">
        <v>2152.4272000000001</v>
      </c>
      <c r="G42" s="1">
        <v>156110.3567</v>
      </c>
      <c r="H42" s="1">
        <v>53345.72</v>
      </c>
      <c r="I42" s="1">
        <v>987.77107000000001</v>
      </c>
    </row>
    <row r="43" spans="1:9" x14ac:dyDescent="0.2">
      <c r="A43" s="1" t="s">
        <v>10</v>
      </c>
      <c r="B43" s="1" t="s">
        <v>5</v>
      </c>
      <c r="C43" s="1">
        <v>84066.422999999995</v>
      </c>
      <c r="D43" s="1">
        <v>1.170409E-5</v>
      </c>
      <c r="E43" s="1">
        <v>3701.8589999999999</v>
      </c>
      <c r="F43" s="1">
        <v>432.74745000000001</v>
      </c>
      <c r="G43" s="1">
        <v>18363.733899999999</v>
      </c>
      <c r="H43" s="1">
        <v>23814.28</v>
      </c>
      <c r="I43" s="1">
        <v>1527.73885</v>
      </c>
    </row>
    <row r="44" spans="1:9" x14ac:dyDescent="0.2">
      <c r="A44" s="1" t="s">
        <v>11</v>
      </c>
      <c r="B44" s="1" t="s">
        <v>5</v>
      </c>
      <c r="C44" s="1">
        <v>52118.133999999998</v>
      </c>
      <c r="D44" s="1">
        <v>2.1389530000000001E-5</v>
      </c>
      <c r="E44" s="1">
        <v>719.49099999999999</v>
      </c>
      <c r="F44" s="1">
        <v>2187.6045300000001</v>
      </c>
      <c r="G44" s="1">
        <v>55329.878299999997</v>
      </c>
      <c r="H44" s="1">
        <v>26028.97</v>
      </c>
      <c r="I44" s="1">
        <v>1398.2015899999999</v>
      </c>
    </row>
    <row r="45" spans="1:9" x14ac:dyDescent="0.2">
      <c r="A45" s="1" t="s">
        <v>12</v>
      </c>
      <c r="B45" s="1" t="s">
        <v>5</v>
      </c>
      <c r="C45" s="1">
        <v>63922.385999999999</v>
      </c>
      <c r="D45" s="1">
        <v>4.0273840000000003E-5</v>
      </c>
      <c r="E45" s="1">
        <v>7352.01</v>
      </c>
      <c r="F45" s="1">
        <v>278.03933999999998</v>
      </c>
      <c r="G45" s="1">
        <v>4774.6832000000004</v>
      </c>
      <c r="H45" s="1">
        <v>14586.99</v>
      </c>
      <c r="I45" s="1">
        <v>317.11144000000002</v>
      </c>
    </row>
    <row r="46" spans="1:9" x14ac:dyDescent="0.2">
      <c r="A46" s="1" t="s">
        <v>2</v>
      </c>
      <c r="B46" s="1" t="s">
        <v>6</v>
      </c>
      <c r="C46" s="1">
        <v>806.31669999999997</v>
      </c>
      <c r="D46" s="1">
        <v>2.1479386000000001E-6</v>
      </c>
      <c r="E46" s="1">
        <v>167.42228</v>
      </c>
      <c r="F46" s="1">
        <v>17.394490000000001</v>
      </c>
      <c r="G46" s="1">
        <v>106.79183</v>
      </c>
      <c r="H46" s="1">
        <v>2197.7755000000002</v>
      </c>
      <c r="I46" s="1">
        <v>334.23394999999999</v>
      </c>
    </row>
    <row r="47" spans="1:9" x14ac:dyDescent="0.2">
      <c r="A47" s="1" t="s">
        <v>3</v>
      </c>
      <c r="B47" s="1" t="s">
        <v>6</v>
      </c>
      <c r="C47" s="1">
        <v>72800.159499999994</v>
      </c>
      <c r="D47" s="1">
        <v>5.4193140999999998E-6</v>
      </c>
      <c r="E47" s="1">
        <v>396.03584000000001</v>
      </c>
      <c r="F47" s="1">
        <v>316.52655399999998</v>
      </c>
      <c r="G47" s="1">
        <v>9870.6681599999993</v>
      </c>
      <c r="H47" s="1">
        <v>21506.5105</v>
      </c>
      <c r="I47" s="1">
        <v>1650.2305100000001</v>
      </c>
    </row>
    <row r="48" spans="1:9" x14ac:dyDescent="0.2">
      <c r="A48" s="1" t="s">
        <v>4</v>
      </c>
      <c r="B48" s="1" t="s">
        <v>6</v>
      </c>
      <c r="C48" s="1">
        <v>3702.4940000000001</v>
      </c>
      <c r="D48" s="1">
        <v>2.7550521E-6</v>
      </c>
      <c r="E48" s="1">
        <v>293.59965</v>
      </c>
      <c r="F48" s="1">
        <v>51.464436999999997</v>
      </c>
      <c r="G48" s="1">
        <v>2163.0639999999999</v>
      </c>
      <c r="H48" s="1">
        <v>3590.8240999999998</v>
      </c>
      <c r="I48" s="1">
        <v>1126.7992099999999</v>
      </c>
    </row>
    <row r="49" spans="1:9" x14ac:dyDescent="0.2">
      <c r="A49" s="1" t="s">
        <v>5</v>
      </c>
      <c r="B49" s="1" t="s">
        <v>6</v>
      </c>
      <c r="C49" s="1">
        <v>2220.9598000000001</v>
      </c>
      <c r="D49" s="1">
        <v>9.4557800000000003E-7</v>
      </c>
      <c r="E49" s="1">
        <v>147.38478000000001</v>
      </c>
      <c r="F49" s="1">
        <v>17.710281999999999</v>
      </c>
      <c r="G49" s="1">
        <v>360.00724000000002</v>
      </c>
      <c r="H49" s="1">
        <v>2367.1419999999998</v>
      </c>
      <c r="I49" s="1">
        <v>58.193210000000001</v>
      </c>
    </row>
    <row r="50" spans="1:9" x14ac:dyDescent="0.2">
      <c r="A50" s="1" t="s">
        <v>6</v>
      </c>
      <c r="B50" s="1" t="s">
        <v>6</v>
      </c>
      <c r="C50" s="1">
        <v>2592.7889</v>
      </c>
      <c r="D50" s="1">
        <v>2.0452870999999999E-6</v>
      </c>
      <c r="E50" s="1">
        <v>89.615819999999999</v>
      </c>
      <c r="F50" s="1">
        <v>16.037929999999999</v>
      </c>
      <c r="G50" s="1">
        <v>62.638509999999997</v>
      </c>
      <c r="H50" s="1">
        <v>327.52940000000001</v>
      </c>
      <c r="I50" s="1">
        <v>50.722389999999997</v>
      </c>
    </row>
    <row r="51" spans="1:9" x14ac:dyDescent="0.2">
      <c r="A51" s="1" t="s">
        <v>7</v>
      </c>
      <c r="B51" s="1" t="s">
        <v>6</v>
      </c>
      <c r="C51" s="1">
        <v>146916.7801</v>
      </c>
      <c r="D51" s="1">
        <v>6.6358250299999996E-5</v>
      </c>
      <c r="E51" s="1">
        <v>4429.97534</v>
      </c>
      <c r="F51" s="1">
        <v>489.77255000000002</v>
      </c>
      <c r="G51" s="1">
        <v>4455.6697400000003</v>
      </c>
      <c r="H51" s="1">
        <v>20673.708699999999</v>
      </c>
      <c r="I51" s="1">
        <v>769.61298999999997</v>
      </c>
    </row>
    <row r="52" spans="1:9" x14ac:dyDescent="0.2">
      <c r="A52" s="1" t="s">
        <v>8</v>
      </c>
      <c r="B52" s="1" t="s">
        <v>6</v>
      </c>
      <c r="C52" s="1">
        <v>9647.1103999999996</v>
      </c>
      <c r="D52" s="1">
        <v>5.1690699999999998E-6</v>
      </c>
      <c r="E52" s="1">
        <v>558.0575</v>
      </c>
      <c r="F52" s="1">
        <v>104.400997</v>
      </c>
      <c r="G52" s="1">
        <v>1997.71507</v>
      </c>
      <c r="H52" s="1">
        <v>4052.4582</v>
      </c>
      <c r="I52" s="1">
        <v>76.704549999999998</v>
      </c>
    </row>
    <row r="53" spans="1:9" x14ac:dyDescent="0.2">
      <c r="A53" s="1" t="s">
        <v>9</v>
      </c>
      <c r="B53" s="1" t="s">
        <v>6</v>
      </c>
      <c r="C53" s="1">
        <v>235.9195</v>
      </c>
      <c r="D53" s="1">
        <v>1.2713549999999999E-7</v>
      </c>
      <c r="E53" s="1">
        <v>10.2896</v>
      </c>
      <c r="F53" s="1">
        <v>8.3052659999999996</v>
      </c>
      <c r="G53" s="1">
        <v>610.31823999999995</v>
      </c>
      <c r="H53" s="1">
        <v>753.95100000000002</v>
      </c>
      <c r="I53" s="1">
        <v>26.77788</v>
      </c>
    </row>
    <row r="54" spans="1:9" x14ac:dyDescent="0.2">
      <c r="A54" s="1" t="s">
        <v>10</v>
      </c>
      <c r="B54" s="1" t="s">
        <v>6</v>
      </c>
      <c r="C54" s="1">
        <v>54682.075299999997</v>
      </c>
      <c r="D54" s="1">
        <v>6.0126748000000001E-6</v>
      </c>
      <c r="E54" s="1">
        <v>1763.1110000000001</v>
      </c>
      <c r="F54" s="1">
        <v>188.73559</v>
      </c>
      <c r="G54" s="1">
        <v>2846.3998099999999</v>
      </c>
      <c r="H54" s="1">
        <v>11223.128699999999</v>
      </c>
      <c r="I54" s="1">
        <v>905.45275000000004</v>
      </c>
    </row>
    <row r="55" spans="1:9" x14ac:dyDescent="0.2">
      <c r="A55" s="1" t="s">
        <v>11</v>
      </c>
      <c r="B55" s="1" t="s">
        <v>6</v>
      </c>
      <c r="C55" s="1">
        <v>2364.529</v>
      </c>
      <c r="D55" s="1">
        <v>8.4684120000000004E-7</v>
      </c>
      <c r="E55" s="1">
        <v>25.685690000000001</v>
      </c>
      <c r="F55" s="1">
        <v>75.473884999999996</v>
      </c>
      <c r="G55" s="1">
        <v>1791.60717</v>
      </c>
      <c r="H55" s="1">
        <v>2586.0675000000001</v>
      </c>
      <c r="I55" s="1">
        <v>137.94636</v>
      </c>
    </row>
    <row r="56" spans="1:9" x14ac:dyDescent="0.2">
      <c r="A56" s="1" t="s">
        <v>12</v>
      </c>
      <c r="B56" s="1" t="s">
        <v>6</v>
      </c>
      <c r="C56" s="1">
        <v>1066.4635000000001</v>
      </c>
      <c r="D56" s="1">
        <v>8.8045589999999999E-7</v>
      </c>
      <c r="E56" s="1">
        <v>76.693889999999996</v>
      </c>
      <c r="F56" s="1">
        <v>7.2049320000000003</v>
      </c>
      <c r="G56" s="1">
        <v>131.49493000000001</v>
      </c>
      <c r="H56" s="1">
        <v>1306.8349000000001</v>
      </c>
      <c r="I56" s="1">
        <v>12.676349999999999</v>
      </c>
    </row>
    <row r="57" spans="1:9" x14ac:dyDescent="0.2">
      <c r="A57" s="1" t="s">
        <v>2</v>
      </c>
      <c r="B57" s="1" t="s">
        <v>7</v>
      </c>
      <c r="C57" s="1">
        <v>6576.6750000000002</v>
      </c>
      <c r="D57" s="1">
        <v>2.4122675E-5</v>
      </c>
      <c r="E57" s="1">
        <v>2019.2594999999999</v>
      </c>
      <c r="F57" s="1">
        <v>107.17619999999999</v>
      </c>
      <c r="G57" s="1">
        <v>1043.51</v>
      </c>
      <c r="H57" s="1">
        <v>15334.55</v>
      </c>
      <c r="I57" s="1">
        <v>3388.0324999999998</v>
      </c>
    </row>
    <row r="58" spans="1:9" x14ac:dyDescent="0.2">
      <c r="A58" s="1" t="s">
        <v>3</v>
      </c>
      <c r="B58" s="1" t="s">
        <v>7</v>
      </c>
      <c r="C58" s="1">
        <v>326683.821</v>
      </c>
      <c r="D58" s="1">
        <v>8.0246469E-5</v>
      </c>
      <c r="E58" s="1">
        <v>3604.4090999999999</v>
      </c>
      <c r="F58" s="1">
        <v>2067.0500000000002</v>
      </c>
      <c r="G58" s="1">
        <v>57257.413999999997</v>
      </c>
      <c r="H58" s="1">
        <v>138906.01</v>
      </c>
      <c r="I58" s="1">
        <v>13424.624100000001</v>
      </c>
    </row>
    <row r="59" spans="1:9" x14ac:dyDescent="0.2">
      <c r="A59" s="1" t="s">
        <v>4</v>
      </c>
      <c r="B59" s="1" t="s">
        <v>7</v>
      </c>
      <c r="C59" s="1">
        <v>31689.831999999999</v>
      </c>
      <c r="D59" s="1">
        <v>2.290435E-5</v>
      </c>
      <c r="E59" s="1">
        <v>2085.6903000000002</v>
      </c>
      <c r="F59" s="1">
        <v>420.76620000000003</v>
      </c>
      <c r="G59" s="1">
        <v>15212.562</v>
      </c>
      <c r="H59" s="1">
        <v>28975.79</v>
      </c>
      <c r="I59" s="1">
        <v>13342.4545</v>
      </c>
    </row>
    <row r="60" spans="1:9" x14ac:dyDescent="0.2">
      <c r="A60" s="1" t="s">
        <v>5</v>
      </c>
      <c r="B60" s="1" t="s">
        <v>7</v>
      </c>
      <c r="C60" s="1">
        <v>40030.68</v>
      </c>
      <c r="D60" s="1">
        <v>2.2180772E-5</v>
      </c>
      <c r="E60" s="1">
        <v>3209.8226</v>
      </c>
      <c r="F60" s="1">
        <v>335.03210000000001</v>
      </c>
      <c r="G60" s="1">
        <v>6139.6289999999999</v>
      </c>
      <c r="H60" s="1">
        <v>57275.83</v>
      </c>
      <c r="I60" s="1">
        <v>1587.7363</v>
      </c>
    </row>
    <row r="61" spans="1:9" x14ac:dyDescent="0.2">
      <c r="A61" s="1" t="s">
        <v>6</v>
      </c>
      <c r="B61" s="1" t="s">
        <v>7</v>
      </c>
      <c r="C61" s="1">
        <v>106310.505</v>
      </c>
      <c r="D61" s="1">
        <v>5.7156693999999998E-5</v>
      </c>
      <c r="E61" s="1">
        <v>2602.0817999999999</v>
      </c>
      <c r="F61" s="1">
        <v>707.81979999999999</v>
      </c>
      <c r="G61" s="1">
        <v>3695.2570000000001</v>
      </c>
      <c r="H61" s="1">
        <v>12287.17</v>
      </c>
      <c r="I61" s="1">
        <v>1630.2258999999999</v>
      </c>
    </row>
    <row r="62" spans="1:9" x14ac:dyDescent="0.2">
      <c r="A62" s="1" t="s">
        <v>7</v>
      </c>
      <c r="B62" s="1" t="s">
        <v>7</v>
      </c>
      <c r="C62" s="1">
        <v>901057.10800000001</v>
      </c>
      <c r="D62" s="1">
        <v>7.4454053600000005E-4</v>
      </c>
      <c r="E62" s="1">
        <v>26134.248100000001</v>
      </c>
      <c r="F62" s="1">
        <v>3894.8038000000001</v>
      </c>
      <c r="G62" s="1">
        <v>54899.826000000001</v>
      </c>
      <c r="H62" s="1">
        <v>119455.26</v>
      </c>
      <c r="I62" s="1">
        <v>6032.2782999999999</v>
      </c>
    </row>
    <row r="63" spans="1:9" x14ac:dyDescent="0.2">
      <c r="A63" s="1" t="s">
        <v>8</v>
      </c>
      <c r="B63" s="1" t="s">
        <v>7</v>
      </c>
      <c r="C63" s="1">
        <v>44160.459000000003</v>
      </c>
      <c r="D63" s="1">
        <v>2.6696810999999998E-5</v>
      </c>
      <c r="E63" s="1">
        <v>2606.7800999999999</v>
      </c>
      <c r="F63" s="1">
        <v>790.38340000000005</v>
      </c>
      <c r="G63" s="1">
        <v>14934.787</v>
      </c>
      <c r="H63" s="1">
        <v>17413.43</v>
      </c>
      <c r="I63" s="1">
        <v>1559.5513000000001</v>
      </c>
    </row>
    <row r="64" spans="1:9" x14ac:dyDescent="0.2">
      <c r="A64" s="1" t="s">
        <v>9</v>
      </c>
      <c r="B64" s="1" t="s">
        <v>7</v>
      </c>
      <c r="C64" s="1">
        <v>2700.9760000000001</v>
      </c>
      <c r="D64" s="1">
        <v>1.394907E-6</v>
      </c>
      <c r="E64" s="1">
        <v>195.10720000000001</v>
      </c>
      <c r="F64" s="1">
        <v>116.4439</v>
      </c>
      <c r="G64" s="1">
        <v>8538.36</v>
      </c>
      <c r="H64" s="1">
        <v>12998.5</v>
      </c>
      <c r="I64" s="1">
        <v>590.96040000000005</v>
      </c>
    </row>
    <row r="65" spans="1:9" x14ac:dyDescent="0.2">
      <c r="A65" s="1" t="s">
        <v>10</v>
      </c>
      <c r="B65" s="1" t="s">
        <v>7</v>
      </c>
      <c r="C65" s="1">
        <v>1439030.6969999999</v>
      </c>
      <c r="D65" s="1">
        <v>1.3212482100000001E-4</v>
      </c>
      <c r="E65" s="1">
        <v>32091.488499999999</v>
      </c>
      <c r="F65" s="1">
        <v>7074.3211000000001</v>
      </c>
      <c r="G65" s="1">
        <v>142884.446</v>
      </c>
      <c r="H65" s="1">
        <v>187155.51</v>
      </c>
      <c r="I65" s="1">
        <v>17055.3616</v>
      </c>
    </row>
    <row r="66" spans="1:9" x14ac:dyDescent="0.2">
      <c r="A66" s="1" t="s">
        <v>11</v>
      </c>
      <c r="B66" s="1" t="s">
        <v>7</v>
      </c>
      <c r="C66" s="1">
        <v>27563.455000000002</v>
      </c>
      <c r="D66" s="1">
        <v>1.0328638E-5</v>
      </c>
      <c r="E66" s="1">
        <v>364.60300000000001</v>
      </c>
      <c r="F66" s="1">
        <v>973.82529999999997</v>
      </c>
      <c r="G66" s="1">
        <v>23617.655999999999</v>
      </c>
      <c r="H66" s="1">
        <v>28448.02</v>
      </c>
      <c r="I66" s="1">
        <v>2234.6821</v>
      </c>
    </row>
    <row r="67" spans="1:9" x14ac:dyDescent="0.2">
      <c r="A67" s="1" t="s">
        <v>12</v>
      </c>
      <c r="B67" s="1" t="s">
        <v>7</v>
      </c>
      <c r="C67" s="1">
        <v>94792.195000000007</v>
      </c>
      <c r="D67" s="1">
        <v>1.7489326E-5</v>
      </c>
      <c r="E67" s="1">
        <v>1771.0785000000001</v>
      </c>
      <c r="F67" s="1">
        <v>138.05950000000001</v>
      </c>
      <c r="G67" s="1">
        <v>1556.693</v>
      </c>
      <c r="H67" s="1">
        <v>14337.8</v>
      </c>
      <c r="I67" s="1">
        <v>243.14930000000001</v>
      </c>
    </row>
    <row r="68" spans="1:9" x14ac:dyDescent="0.2">
      <c r="A68" s="1" t="s">
        <v>2</v>
      </c>
      <c r="B68" s="1" t="s">
        <v>8</v>
      </c>
      <c r="C68" s="1">
        <v>15815.21</v>
      </c>
      <c r="D68" s="1">
        <v>1.02942622E-4</v>
      </c>
      <c r="E68" s="1">
        <v>9149.6321000000007</v>
      </c>
      <c r="F68" s="1">
        <v>182.50217000000001</v>
      </c>
      <c r="G68" s="1">
        <v>2467.84</v>
      </c>
      <c r="H68" s="1">
        <v>11623.512000000001</v>
      </c>
      <c r="I68" s="1">
        <v>1537.22901</v>
      </c>
    </row>
    <row r="69" spans="1:9" x14ac:dyDescent="0.2">
      <c r="A69" s="1" t="s">
        <v>3</v>
      </c>
      <c r="B69" s="1" t="s">
        <v>8</v>
      </c>
      <c r="C69" s="1">
        <v>218060.64</v>
      </c>
      <c r="D69" s="1">
        <v>7.3983030000000002E-5</v>
      </c>
      <c r="E69" s="1">
        <v>2141.1417999999999</v>
      </c>
      <c r="F69" s="1">
        <v>1133.9726499999999</v>
      </c>
      <c r="G69" s="1">
        <v>27224.133000000002</v>
      </c>
      <c r="H69" s="1">
        <v>72543.335999999996</v>
      </c>
      <c r="I69" s="1">
        <v>4963.0006400000002</v>
      </c>
    </row>
    <row r="70" spans="1:9" x14ac:dyDescent="0.2">
      <c r="A70" s="1" t="s">
        <v>4</v>
      </c>
      <c r="B70" s="1" t="s">
        <v>8</v>
      </c>
      <c r="C70" s="1">
        <v>88943.14</v>
      </c>
      <c r="D70" s="1">
        <v>2.8980506000000001E-5</v>
      </c>
      <c r="E70" s="1">
        <v>3613.7649000000001</v>
      </c>
      <c r="F70" s="1">
        <v>353.77632</v>
      </c>
      <c r="G70" s="1">
        <v>12965.584000000001</v>
      </c>
      <c r="H70" s="1">
        <v>19172.554</v>
      </c>
      <c r="I70" s="1">
        <v>6075.0273699999998</v>
      </c>
    </row>
    <row r="71" spans="1:9" x14ac:dyDescent="0.2">
      <c r="A71" s="1" t="s">
        <v>5</v>
      </c>
      <c r="B71" s="1" t="s">
        <v>8</v>
      </c>
      <c r="C71" s="1">
        <v>105199.45</v>
      </c>
      <c r="D71" s="1">
        <v>2.4875313000000001E-5</v>
      </c>
      <c r="E71" s="1">
        <v>3627.2082</v>
      </c>
      <c r="F71" s="1">
        <v>447.91410000000002</v>
      </c>
      <c r="G71" s="1">
        <v>11848.255999999999</v>
      </c>
      <c r="H71" s="1">
        <v>23689.981</v>
      </c>
      <c r="I71" s="1">
        <v>492.59348</v>
      </c>
    </row>
    <row r="72" spans="1:9" x14ac:dyDescent="0.2">
      <c r="A72" s="1" t="s">
        <v>6</v>
      </c>
      <c r="B72" s="1" t="s">
        <v>8</v>
      </c>
      <c r="C72" s="1">
        <v>14734.81</v>
      </c>
      <c r="D72" s="1">
        <v>8.8873030000000003E-6</v>
      </c>
      <c r="E72" s="1">
        <v>629.58169999999996</v>
      </c>
      <c r="F72" s="1">
        <v>51.004040000000003</v>
      </c>
      <c r="G72" s="1">
        <v>454.44499999999999</v>
      </c>
      <c r="H72" s="1">
        <v>1231.6969999999999</v>
      </c>
      <c r="I72" s="1">
        <v>60.281080000000003</v>
      </c>
    </row>
    <row r="73" spans="1:9" x14ac:dyDescent="0.2">
      <c r="A73" s="1" t="s">
        <v>7</v>
      </c>
      <c r="B73" s="1" t="s">
        <v>8</v>
      </c>
      <c r="C73" s="1">
        <v>210171.69</v>
      </c>
      <c r="D73" s="1">
        <v>7.8643118000000002E-5</v>
      </c>
      <c r="E73" s="1">
        <v>4592.6154999999999</v>
      </c>
      <c r="F73" s="1">
        <v>346.13508999999999</v>
      </c>
      <c r="G73" s="1">
        <v>3285.299</v>
      </c>
      <c r="H73" s="1">
        <v>15708.15</v>
      </c>
      <c r="I73" s="1">
        <v>461.50812999999999</v>
      </c>
    </row>
    <row r="74" spans="1:9" x14ac:dyDescent="0.2">
      <c r="A74" s="1" t="s">
        <v>8</v>
      </c>
      <c r="B74" s="1" t="s">
        <v>8</v>
      </c>
      <c r="C74" s="1">
        <v>36746.06</v>
      </c>
      <c r="D74" s="1">
        <v>2.3067340000000001E-5</v>
      </c>
      <c r="E74" s="1">
        <v>10355.3819</v>
      </c>
      <c r="F74" s="1">
        <v>1002.0473</v>
      </c>
      <c r="G74" s="1">
        <v>13112.87</v>
      </c>
      <c r="H74" s="1">
        <v>60680.294000000002</v>
      </c>
      <c r="I74" s="1">
        <v>2088.1626900000001</v>
      </c>
    </row>
    <row r="75" spans="1:9" x14ac:dyDescent="0.2">
      <c r="A75" s="1" t="s">
        <v>9</v>
      </c>
      <c r="B75" s="1" t="s">
        <v>8</v>
      </c>
      <c r="C75" s="1">
        <v>44452.51</v>
      </c>
      <c r="D75" s="1">
        <v>1.4622439000000001E-5</v>
      </c>
      <c r="E75" s="1">
        <v>1330.3253999999999</v>
      </c>
      <c r="F75" s="1">
        <v>1305.90778</v>
      </c>
      <c r="G75" s="1">
        <v>101825.745</v>
      </c>
      <c r="H75" s="1">
        <v>29866.785</v>
      </c>
      <c r="I75" s="1">
        <v>638.67443000000003</v>
      </c>
    </row>
    <row r="76" spans="1:9" x14ac:dyDescent="0.2">
      <c r="A76" s="1" t="s">
        <v>10</v>
      </c>
      <c r="B76" s="1" t="s">
        <v>8</v>
      </c>
      <c r="C76" s="1">
        <v>134133</v>
      </c>
      <c r="D76" s="1">
        <v>8.2508659999999995E-6</v>
      </c>
      <c r="E76" s="1">
        <v>3239.6104</v>
      </c>
      <c r="F76" s="1">
        <v>503.46677</v>
      </c>
      <c r="G76" s="1">
        <v>11404.303</v>
      </c>
      <c r="H76" s="1">
        <v>39547.135000000002</v>
      </c>
      <c r="I76" s="1">
        <v>1602.57152</v>
      </c>
    </row>
    <row r="77" spans="1:9" x14ac:dyDescent="0.2">
      <c r="A77" s="1" t="s">
        <v>11</v>
      </c>
      <c r="B77" s="1" t="s">
        <v>8</v>
      </c>
      <c r="C77" s="1">
        <v>80552.09</v>
      </c>
      <c r="D77" s="1">
        <v>5.8154773E-5</v>
      </c>
      <c r="E77" s="1">
        <v>2030.4014</v>
      </c>
      <c r="F77" s="1">
        <v>5820.6995200000001</v>
      </c>
      <c r="G77" s="1">
        <v>154772.492</v>
      </c>
      <c r="H77" s="1">
        <v>44569.872000000003</v>
      </c>
      <c r="I77" s="1">
        <v>1162.14752</v>
      </c>
    </row>
    <row r="78" spans="1:9" x14ac:dyDescent="0.2">
      <c r="A78" s="1" t="s">
        <v>12</v>
      </c>
      <c r="B78" s="1" t="s">
        <v>8</v>
      </c>
      <c r="C78" s="1">
        <v>46945.71</v>
      </c>
      <c r="D78" s="1">
        <v>4.8374210000000003E-5</v>
      </c>
      <c r="E78" s="1">
        <v>4333.9277000000002</v>
      </c>
      <c r="F78" s="1">
        <v>355.64999</v>
      </c>
      <c r="G78" s="1">
        <v>9049.9459999999999</v>
      </c>
      <c r="H78" s="1">
        <v>22486.934000000001</v>
      </c>
      <c r="I78" s="1">
        <v>190.45374000000001</v>
      </c>
    </row>
    <row r="79" spans="1:9" x14ac:dyDescent="0.2">
      <c r="A79" s="1" t="s">
        <v>2</v>
      </c>
      <c r="B79" s="1" t="s">
        <v>9</v>
      </c>
      <c r="C79" s="1">
        <v>11637.99</v>
      </c>
      <c r="D79" s="1">
        <v>5.9102019000000003E-5</v>
      </c>
      <c r="E79" s="1">
        <v>4308.9041999999999</v>
      </c>
      <c r="F79" s="1">
        <v>186.94441</v>
      </c>
      <c r="G79" s="1">
        <v>2443.9252999999999</v>
      </c>
      <c r="H79" s="1">
        <v>8300.92</v>
      </c>
      <c r="I79" s="1">
        <v>1125.94705</v>
      </c>
    </row>
    <row r="80" spans="1:9" x14ac:dyDescent="0.2">
      <c r="A80" s="1" t="s">
        <v>3</v>
      </c>
      <c r="B80" s="1" t="s">
        <v>9</v>
      </c>
      <c r="C80" s="1">
        <v>241291.59</v>
      </c>
      <c r="D80" s="1">
        <v>9.8584635999999996E-5</v>
      </c>
      <c r="E80" s="1">
        <v>2506.2150999999999</v>
      </c>
      <c r="F80" s="1">
        <v>1244.0038099999999</v>
      </c>
      <c r="G80" s="1">
        <v>32002.8986</v>
      </c>
      <c r="H80" s="1">
        <v>70086.928</v>
      </c>
      <c r="I80" s="1">
        <v>5563.2580500000004</v>
      </c>
    </row>
    <row r="81" spans="1:9" x14ac:dyDescent="0.2">
      <c r="A81" s="1" t="s">
        <v>4</v>
      </c>
      <c r="B81" s="1" t="s">
        <v>9</v>
      </c>
      <c r="C81" s="1">
        <v>160152.53</v>
      </c>
      <c r="D81" s="1">
        <v>9.6088550000000003E-5</v>
      </c>
      <c r="E81" s="1">
        <v>9101.3014999999996</v>
      </c>
      <c r="F81" s="1">
        <v>640.70181000000002</v>
      </c>
      <c r="G81" s="1">
        <v>19603.232</v>
      </c>
      <c r="H81" s="1">
        <v>31711.87</v>
      </c>
      <c r="I81" s="1">
        <v>7159.6654699999999</v>
      </c>
    </row>
    <row r="82" spans="1:9" x14ac:dyDescent="0.2">
      <c r="A82" s="1" t="s">
        <v>5</v>
      </c>
      <c r="B82" s="1" t="s">
        <v>9</v>
      </c>
      <c r="C82" s="1">
        <v>585887.93000000005</v>
      </c>
      <c r="D82" s="1">
        <v>1.0514889500000001E-4</v>
      </c>
      <c r="E82" s="1">
        <v>18444.439600000002</v>
      </c>
      <c r="F82" s="1">
        <v>3221.2071099999998</v>
      </c>
      <c r="G82" s="1">
        <v>76981.287700000001</v>
      </c>
      <c r="H82" s="1">
        <v>67105.455000000002</v>
      </c>
      <c r="I82" s="1">
        <v>1516.5561499999999</v>
      </c>
    </row>
    <row r="83" spans="1:9" x14ac:dyDescent="0.2">
      <c r="A83" s="1" t="s">
        <v>6</v>
      </c>
      <c r="B83" s="1" t="s">
        <v>9</v>
      </c>
      <c r="C83" s="1">
        <v>41827.4</v>
      </c>
      <c r="D83" s="1">
        <v>6.0471610000000003E-6</v>
      </c>
      <c r="E83" s="1">
        <v>582.61590000000001</v>
      </c>
      <c r="F83" s="1">
        <v>56.231580000000001</v>
      </c>
      <c r="G83" s="1">
        <v>179.53030000000001</v>
      </c>
      <c r="H83" s="1">
        <v>1155.1220000000001</v>
      </c>
      <c r="I83" s="1">
        <v>45.074959999999997</v>
      </c>
    </row>
    <row r="84" spans="1:9" x14ac:dyDescent="0.2">
      <c r="A84" s="1" t="s">
        <v>7</v>
      </c>
      <c r="B84" s="1" t="s">
        <v>9</v>
      </c>
      <c r="C84" s="1">
        <v>691317.15</v>
      </c>
      <c r="D84" s="1">
        <v>3.6725197800000002E-4</v>
      </c>
      <c r="E84" s="1">
        <v>12677.233</v>
      </c>
      <c r="F84" s="1">
        <v>1680.8178399999999</v>
      </c>
      <c r="G84" s="1">
        <v>25788.7369</v>
      </c>
      <c r="H84" s="1">
        <v>29454.97</v>
      </c>
      <c r="I84" s="1">
        <v>702.38232000000005</v>
      </c>
    </row>
    <row r="85" spans="1:9" x14ac:dyDescent="0.2">
      <c r="A85" s="1" t="s">
        <v>8</v>
      </c>
      <c r="B85" s="1" t="s">
        <v>9</v>
      </c>
      <c r="C85" s="1">
        <v>51892.14</v>
      </c>
      <c r="D85" s="1">
        <v>2.0268931999999999E-5</v>
      </c>
      <c r="E85" s="1">
        <v>4997.3005000000003</v>
      </c>
      <c r="F85" s="1">
        <v>1531.03991</v>
      </c>
      <c r="G85" s="1">
        <v>25879.1378</v>
      </c>
      <c r="H85" s="1">
        <v>54538.582000000002</v>
      </c>
      <c r="I85" s="1">
        <v>1925.6179400000001</v>
      </c>
    </row>
    <row r="86" spans="1:9" x14ac:dyDescent="0.2">
      <c r="A86" s="1" t="s">
        <v>9</v>
      </c>
      <c r="B86" s="1" t="s">
        <v>9</v>
      </c>
      <c r="C86" s="1">
        <v>70312.479999999996</v>
      </c>
      <c r="D86" s="1">
        <v>2.9654699999999999E-5</v>
      </c>
      <c r="E86" s="1">
        <v>2861.5807</v>
      </c>
      <c r="F86" s="1">
        <v>3937.7534799999999</v>
      </c>
      <c r="G86" s="1">
        <v>276756.71919999999</v>
      </c>
      <c r="H86" s="1">
        <v>45862.491000000002</v>
      </c>
      <c r="I86" s="1">
        <v>936.86587999999995</v>
      </c>
    </row>
    <row r="87" spans="1:9" x14ac:dyDescent="0.2">
      <c r="A87" s="1" t="s">
        <v>10</v>
      </c>
      <c r="B87" s="1" t="s">
        <v>9</v>
      </c>
      <c r="C87" s="1">
        <v>394470.47</v>
      </c>
      <c r="D87" s="1">
        <v>3.0062297E-5</v>
      </c>
      <c r="E87" s="1">
        <v>7410.3059000000003</v>
      </c>
      <c r="F87" s="1">
        <v>1280.6844900000001</v>
      </c>
      <c r="G87" s="1">
        <v>33027.497000000003</v>
      </c>
      <c r="H87" s="1">
        <v>14253.403</v>
      </c>
      <c r="I87" s="1">
        <v>862.85544000000004</v>
      </c>
    </row>
    <row r="88" spans="1:9" x14ac:dyDescent="0.2">
      <c r="A88" s="1" t="s">
        <v>11</v>
      </c>
      <c r="B88" s="1" t="s">
        <v>9</v>
      </c>
      <c r="C88" s="1">
        <v>127338.81</v>
      </c>
      <c r="D88" s="1">
        <v>1.12169909E-4</v>
      </c>
      <c r="E88" s="1">
        <v>3619.0441000000001</v>
      </c>
      <c r="F88" s="1">
        <v>10829.43043</v>
      </c>
      <c r="G88" s="1">
        <v>293712.75760000001</v>
      </c>
      <c r="H88" s="1">
        <v>32587.949000000001</v>
      </c>
      <c r="I88" s="1">
        <v>1112.1116</v>
      </c>
    </row>
    <row r="89" spans="1:9" x14ac:dyDescent="0.2">
      <c r="A89" s="1" t="s">
        <v>12</v>
      </c>
      <c r="B89" s="1" t="s">
        <v>9</v>
      </c>
      <c r="C89" s="1">
        <v>64039.28</v>
      </c>
      <c r="D89" s="1">
        <v>5.0298070999999999E-5</v>
      </c>
      <c r="E89" s="1">
        <v>4228.7582000000002</v>
      </c>
      <c r="F89" s="1">
        <v>277.51173</v>
      </c>
      <c r="G89" s="1">
        <v>7178.6486999999997</v>
      </c>
      <c r="H89" s="1">
        <v>16793.612000000001</v>
      </c>
      <c r="I89" s="1">
        <v>79.685890000000001</v>
      </c>
    </row>
    <row r="90" spans="1:9" x14ac:dyDescent="0.2">
      <c r="A90" s="1" t="s">
        <v>2</v>
      </c>
      <c r="B90" s="1" t="s">
        <v>10</v>
      </c>
      <c r="C90" s="1">
        <v>52346.375999999997</v>
      </c>
      <c r="D90" s="1">
        <v>1.7546424400000001E-4</v>
      </c>
      <c r="E90" s="1">
        <v>13006.2505</v>
      </c>
      <c r="F90" s="1">
        <v>884.46720000000005</v>
      </c>
      <c r="G90" s="1">
        <v>7924.39</v>
      </c>
      <c r="H90" s="1">
        <v>80322.66</v>
      </c>
      <c r="I90" s="1">
        <v>15982.2649</v>
      </c>
    </row>
    <row r="91" spans="1:9" x14ac:dyDescent="0.2">
      <c r="A91" s="1" t="s">
        <v>3</v>
      </c>
      <c r="B91" s="1" t="s">
        <v>10</v>
      </c>
      <c r="C91" s="1">
        <v>1853076.659</v>
      </c>
      <c r="D91" s="1">
        <v>4.4928532500000001E-4</v>
      </c>
      <c r="E91" s="1">
        <v>18872.6623</v>
      </c>
      <c r="F91" s="1">
        <v>9642.4153000000006</v>
      </c>
      <c r="G91" s="1">
        <v>226469.14</v>
      </c>
      <c r="H91" s="1">
        <v>562493.78</v>
      </c>
      <c r="I91" s="1">
        <v>48457.768700000001</v>
      </c>
    </row>
    <row r="92" spans="1:9" x14ac:dyDescent="0.2">
      <c r="A92" s="1" t="s">
        <v>4</v>
      </c>
      <c r="B92" s="1" t="s">
        <v>10</v>
      </c>
      <c r="C92" s="1">
        <v>122541.557</v>
      </c>
      <c r="D92" s="1">
        <v>7.3603452000000003E-5</v>
      </c>
      <c r="E92" s="1">
        <v>7591.8085000000001</v>
      </c>
      <c r="F92" s="1">
        <v>1345.4289000000001</v>
      </c>
      <c r="G92" s="1">
        <v>39526.853999999999</v>
      </c>
      <c r="H92" s="1">
        <v>100024.64</v>
      </c>
      <c r="I92" s="1">
        <v>84146.320500000002</v>
      </c>
    </row>
    <row r="93" spans="1:9" x14ac:dyDescent="0.2">
      <c r="A93" s="1" t="s">
        <v>5</v>
      </c>
      <c r="B93" s="1" t="s">
        <v>10</v>
      </c>
      <c r="C93" s="1">
        <v>78391.917000000001</v>
      </c>
      <c r="D93" s="1">
        <v>3.4350042000000003E-5</v>
      </c>
      <c r="E93" s="1">
        <v>6086.3194999999996</v>
      </c>
      <c r="F93" s="1">
        <v>856.72329999999999</v>
      </c>
      <c r="G93" s="1">
        <v>22769.386999999999</v>
      </c>
      <c r="H93" s="1">
        <v>79275.13</v>
      </c>
      <c r="I93" s="1">
        <v>1238.0706</v>
      </c>
    </row>
    <row r="94" spans="1:9" x14ac:dyDescent="0.2">
      <c r="A94" s="1" t="s">
        <v>6</v>
      </c>
      <c r="B94" s="1" t="s">
        <v>10</v>
      </c>
      <c r="C94" s="1">
        <v>42697.87</v>
      </c>
      <c r="D94" s="1">
        <v>2.6687046E-5</v>
      </c>
      <c r="E94" s="1">
        <v>2399.0113000000001</v>
      </c>
      <c r="F94" s="1">
        <v>341.70870000000002</v>
      </c>
      <c r="G94" s="1">
        <v>1767.4970000000001</v>
      </c>
      <c r="H94" s="1">
        <v>11932.92</v>
      </c>
      <c r="I94" s="1">
        <v>1059.8435999999999</v>
      </c>
    </row>
    <row r="95" spans="1:9" x14ac:dyDescent="0.2">
      <c r="A95" s="1" t="s">
        <v>7</v>
      </c>
      <c r="B95" s="1" t="s">
        <v>10</v>
      </c>
      <c r="C95" s="1">
        <v>1952683.649</v>
      </c>
      <c r="D95" s="1">
        <v>1.044814491E-3</v>
      </c>
      <c r="E95" s="1">
        <v>35212.304900000003</v>
      </c>
      <c r="F95" s="1">
        <v>6201.9395999999997</v>
      </c>
      <c r="G95" s="1">
        <v>107441.014</v>
      </c>
      <c r="H95" s="1">
        <v>239313.9</v>
      </c>
      <c r="I95" s="1">
        <v>8502.7612000000008</v>
      </c>
    </row>
    <row r="96" spans="1:9" x14ac:dyDescent="0.2">
      <c r="A96" s="1" t="s">
        <v>8</v>
      </c>
      <c r="B96" s="1" t="s">
        <v>10</v>
      </c>
      <c r="C96" s="1">
        <v>7616.6109999999999</v>
      </c>
      <c r="D96" s="1">
        <v>4.209542E-6</v>
      </c>
      <c r="E96" s="1">
        <v>1015.4087</v>
      </c>
      <c r="F96" s="1">
        <v>157.43049999999999</v>
      </c>
      <c r="G96" s="1">
        <v>4983.3119999999999</v>
      </c>
      <c r="H96" s="1">
        <v>50923.24</v>
      </c>
      <c r="I96" s="1">
        <v>3081.2926000000002</v>
      </c>
    </row>
    <row r="97" spans="1:9" x14ac:dyDescent="0.2">
      <c r="A97" s="1" t="s">
        <v>9</v>
      </c>
      <c r="B97" s="1" t="s">
        <v>10</v>
      </c>
      <c r="C97" s="1">
        <v>12802.341</v>
      </c>
      <c r="D97" s="1">
        <v>4.5330319999999997E-6</v>
      </c>
      <c r="E97" s="1">
        <v>412.55759999999998</v>
      </c>
      <c r="F97" s="1">
        <v>536.08669999999995</v>
      </c>
      <c r="G97" s="1">
        <v>39240.584999999999</v>
      </c>
      <c r="H97" s="1">
        <v>28099.62</v>
      </c>
      <c r="I97" s="1">
        <v>696.02639999999997</v>
      </c>
    </row>
    <row r="98" spans="1:9" x14ac:dyDescent="0.2">
      <c r="A98" s="1" t="s">
        <v>10</v>
      </c>
      <c r="B98" s="1" t="s">
        <v>10</v>
      </c>
      <c r="C98" s="1">
        <v>1326307.1910000001</v>
      </c>
      <c r="D98" s="1">
        <v>6.4277767000000006E-5</v>
      </c>
      <c r="E98" s="1">
        <v>138330.2757</v>
      </c>
      <c r="F98" s="1">
        <v>1949.8400999999999</v>
      </c>
      <c r="G98" s="1">
        <v>34706.061999999998</v>
      </c>
      <c r="H98" s="1">
        <v>263527.27</v>
      </c>
      <c r="I98" s="1">
        <v>17147.783599999999</v>
      </c>
    </row>
    <row r="99" spans="1:9" x14ac:dyDescent="0.2">
      <c r="A99" s="1" t="s">
        <v>11</v>
      </c>
      <c r="B99" s="1" t="s">
        <v>10</v>
      </c>
      <c r="C99" s="1">
        <v>151317.63200000001</v>
      </c>
      <c r="D99" s="1">
        <v>7.0395787000000006E-5</v>
      </c>
      <c r="E99" s="1">
        <v>2658.2386000000001</v>
      </c>
      <c r="F99" s="1">
        <v>7007.9080000000004</v>
      </c>
      <c r="G99" s="1">
        <v>171624.29199999999</v>
      </c>
      <c r="H99" s="1">
        <v>143902.48000000001</v>
      </c>
      <c r="I99" s="1">
        <v>8871.8330999999998</v>
      </c>
    </row>
    <row r="100" spans="1:9" x14ac:dyDescent="0.2">
      <c r="A100" s="1" t="s">
        <v>12</v>
      </c>
      <c r="B100" s="1" t="s">
        <v>10</v>
      </c>
      <c r="C100" s="1">
        <v>114046.197</v>
      </c>
      <c r="D100" s="1">
        <v>6.8170965999999995E-5</v>
      </c>
      <c r="E100" s="1">
        <v>4555.4732999999997</v>
      </c>
      <c r="F100" s="1">
        <v>576.73879999999997</v>
      </c>
      <c r="G100" s="1">
        <v>9474.8089999999993</v>
      </c>
      <c r="H100" s="1">
        <v>44345.68</v>
      </c>
      <c r="I100" s="1">
        <v>566.30719999999997</v>
      </c>
    </row>
    <row r="101" spans="1:9" x14ac:dyDescent="0.2">
      <c r="A101" s="1" t="s">
        <v>2</v>
      </c>
      <c r="B101" s="1" t="s">
        <v>11</v>
      </c>
      <c r="C101" s="1">
        <v>11741.699000000001</v>
      </c>
      <c r="D101" s="1">
        <v>6.3465723999999997E-5</v>
      </c>
      <c r="E101" s="1">
        <v>5813.3712999999998</v>
      </c>
      <c r="F101" s="1">
        <v>172.33243999999999</v>
      </c>
      <c r="G101" s="1">
        <v>2007.0816</v>
      </c>
      <c r="H101" s="1">
        <v>34771.428</v>
      </c>
      <c r="I101" s="1">
        <v>5819.3767200000002</v>
      </c>
    </row>
    <row r="102" spans="1:9" x14ac:dyDescent="0.2">
      <c r="A102" s="1" t="s">
        <v>3</v>
      </c>
      <c r="B102" s="1" t="s">
        <v>11</v>
      </c>
      <c r="C102" s="1">
        <v>465753.36499999999</v>
      </c>
      <c r="D102" s="1">
        <v>2.69967141E-4</v>
      </c>
      <c r="E102" s="1">
        <v>6365.4260999999997</v>
      </c>
      <c r="F102" s="1">
        <v>2942.27466</v>
      </c>
      <c r="G102" s="1">
        <v>67601.290399999998</v>
      </c>
      <c r="H102" s="1">
        <v>227283.72899999999</v>
      </c>
      <c r="I102" s="1">
        <v>17071.069289999999</v>
      </c>
    </row>
    <row r="103" spans="1:9" x14ac:dyDescent="0.2">
      <c r="A103" s="1" t="s">
        <v>4</v>
      </c>
      <c r="B103" s="1" t="s">
        <v>11</v>
      </c>
      <c r="C103" s="1">
        <v>19240.97</v>
      </c>
      <c r="D103" s="1">
        <v>1.0535598000000001E-5</v>
      </c>
      <c r="E103" s="1">
        <v>1518.6229000000001</v>
      </c>
      <c r="F103" s="1">
        <v>155.49845999999999</v>
      </c>
      <c r="G103" s="1">
        <v>2655.1296000000002</v>
      </c>
      <c r="H103" s="1">
        <v>19269.175999999999</v>
      </c>
      <c r="I103" s="1">
        <v>5776.1606000000002</v>
      </c>
    </row>
    <row r="104" spans="1:9" x14ac:dyDescent="0.2">
      <c r="A104" s="1" t="s">
        <v>5</v>
      </c>
      <c r="B104" s="1" t="s">
        <v>11</v>
      </c>
      <c r="C104" s="1">
        <v>132171.114</v>
      </c>
      <c r="D104" s="1">
        <v>5.4924839E-5</v>
      </c>
      <c r="E104" s="1">
        <v>7998.0852000000004</v>
      </c>
      <c r="F104" s="1">
        <v>1974.6477600000001</v>
      </c>
      <c r="G104" s="1">
        <v>56491.610999999997</v>
      </c>
      <c r="H104" s="1">
        <v>48765.983</v>
      </c>
      <c r="I104" s="1">
        <v>1191.0579399999999</v>
      </c>
    </row>
    <row r="105" spans="1:9" x14ac:dyDescent="0.2">
      <c r="A105" s="1" t="s">
        <v>6</v>
      </c>
      <c r="B105" s="1" t="s">
        <v>11</v>
      </c>
      <c r="C105" s="1">
        <v>7698.8459999999995</v>
      </c>
      <c r="D105" s="1">
        <v>5.2023400000000004E-6</v>
      </c>
      <c r="E105" s="1">
        <v>233.0924</v>
      </c>
      <c r="F105" s="1">
        <v>25.31466</v>
      </c>
      <c r="G105" s="1">
        <v>300.22219999999999</v>
      </c>
      <c r="H105" s="1">
        <v>1366.2729999999999</v>
      </c>
      <c r="I105" s="1">
        <v>51.74089</v>
      </c>
    </row>
    <row r="106" spans="1:9" x14ac:dyDescent="0.2">
      <c r="A106" s="1" t="s">
        <v>7</v>
      </c>
      <c r="B106" s="1" t="s">
        <v>11</v>
      </c>
      <c r="C106" s="1">
        <v>240715.163</v>
      </c>
      <c r="D106" s="1">
        <v>1.3260475099999999E-4</v>
      </c>
      <c r="E106" s="1">
        <v>7730.0594000000001</v>
      </c>
      <c r="F106" s="1">
        <v>452.36415</v>
      </c>
      <c r="G106" s="1">
        <v>7237.4773999999998</v>
      </c>
      <c r="H106" s="1">
        <v>22956.891</v>
      </c>
      <c r="I106" s="1">
        <v>424.23775999999998</v>
      </c>
    </row>
    <row r="107" spans="1:9" x14ac:dyDescent="0.2">
      <c r="A107" s="1" t="s">
        <v>8</v>
      </c>
      <c r="B107" s="1" t="s">
        <v>11</v>
      </c>
      <c r="C107" s="1">
        <v>28235.08</v>
      </c>
      <c r="D107" s="1">
        <v>9.6635850000000008E-6</v>
      </c>
      <c r="E107" s="1">
        <v>2715.6226000000001</v>
      </c>
      <c r="F107" s="1">
        <v>535.21954000000005</v>
      </c>
      <c r="G107" s="1">
        <v>6785.9177</v>
      </c>
      <c r="H107" s="1">
        <v>63016.6</v>
      </c>
      <c r="I107" s="1">
        <v>3652.7060900000001</v>
      </c>
    </row>
    <row r="108" spans="1:9" x14ac:dyDescent="0.2">
      <c r="A108" s="1" t="s">
        <v>9</v>
      </c>
      <c r="B108" s="1" t="s">
        <v>11</v>
      </c>
      <c r="C108" s="1">
        <v>42215.368000000002</v>
      </c>
      <c r="D108" s="1">
        <v>6.6855419999999997E-6</v>
      </c>
      <c r="E108" s="1">
        <v>1041.345</v>
      </c>
      <c r="F108" s="1">
        <v>1333.45776</v>
      </c>
      <c r="G108" s="1">
        <v>90771.168399999995</v>
      </c>
      <c r="H108" s="1">
        <v>57930.574999999997</v>
      </c>
      <c r="I108" s="1">
        <v>1811.17868</v>
      </c>
    </row>
    <row r="109" spans="1:9" x14ac:dyDescent="0.2">
      <c r="A109" s="1" t="s">
        <v>10</v>
      </c>
      <c r="B109" s="1" t="s">
        <v>11</v>
      </c>
      <c r="C109" s="1">
        <v>289870.18699999998</v>
      </c>
      <c r="D109" s="1">
        <v>2.7713525E-5</v>
      </c>
      <c r="E109" s="1">
        <v>8713.348</v>
      </c>
      <c r="F109" s="1">
        <v>1049.9931899999999</v>
      </c>
      <c r="G109" s="1">
        <v>51660.317199999998</v>
      </c>
      <c r="H109" s="1">
        <v>42137.286999999997</v>
      </c>
      <c r="I109" s="1">
        <v>2741.5060199999998</v>
      </c>
    </row>
    <row r="110" spans="1:9" x14ac:dyDescent="0.2">
      <c r="A110" s="1" t="s">
        <v>11</v>
      </c>
      <c r="B110" s="1" t="s">
        <v>11</v>
      </c>
      <c r="C110" s="1">
        <v>127029.872</v>
      </c>
      <c r="D110" s="1">
        <v>7.6908396000000006E-5</v>
      </c>
      <c r="E110" s="1">
        <v>3368.3427999999999</v>
      </c>
      <c r="F110" s="1">
        <v>5867.2002499999999</v>
      </c>
      <c r="G110" s="1">
        <v>133444.72529999999</v>
      </c>
      <c r="H110" s="1">
        <v>64091.656999999999</v>
      </c>
      <c r="I110" s="1">
        <v>1790.7036800000001</v>
      </c>
    </row>
    <row r="111" spans="1:9" x14ac:dyDescent="0.2">
      <c r="A111" s="1" t="s">
        <v>12</v>
      </c>
      <c r="B111" s="1" t="s">
        <v>11</v>
      </c>
      <c r="C111" s="1">
        <v>172973.39199999999</v>
      </c>
      <c r="D111" s="1">
        <v>7.4270004999999999E-5</v>
      </c>
      <c r="E111" s="1">
        <v>6025.7539999999999</v>
      </c>
      <c r="F111" s="1">
        <v>870.99955999999997</v>
      </c>
      <c r="G111" s="1">
        <v>14657.281499999999</v>
      </c>
      <c r="H111" s="1">
        <v>63780.482000000004</v>
      </c>
      <c r="I111" s="1">
        <v>499.07968</v>
      </c>
    </row>
    <row r="112" spans="1:9" x14ac:dyDescent="0.2">
      <c r="A112" s="1" t="s">
        <v>2</v>
      </c>
      <c r="B112" s="1" t="s">
        <v>12</v>
      </c>
      <c r="C112" s="1">
        <v>5317.8670000000002</v>
      </c>
      <c r="D112" s="1">
        <v>2.3413109999999999E-5</v>
      </c>
      <c r="E112" s="1">
        <v>1603.9786999999999</v>
      </c>
      <c r="F112" s="1">
        <v>102.14985</v>
      </c>
      <c r="G112" s="1">
        <v>1628.8052</v>
      </c>
      <c r="H112" s="1">
        <v>7752.8014999999996</v>
      </c>
      <c r="I112" s="1">
        <v>1362.9358099999999</v>
      </c>
    </row>
    <row r="113" spans="1:9" x14ac:dyDescent="0.2">
      <c r="A113" s="1" t="s">
        <v>3</v>
      </c>
      <c r="B113" s="1" t="s">
        <v>12</v>
      </c>
      <c r="C113" s="1">
        <v>318609.45600000001</v>
      </c>
      <c r="D113" s="1">
        <v>1.47864657E-4</v>
      </c>
      <c r="E113" s="1">
        <v>4135.5977999999996</v>
      </c>
      <c r="F113" s="1">
        <v>2561.8018000000002</v>
      </c>
      <c r="G113" s="1">
        <v>41330.7719</v>
      </c>
      <c r="H113" s="1">
        <v>85900.236999999994</v>
      </c>
      <c r="I113" s="1">
        <v>7140.5925299999999</v>
      </c>
    </row>
    <row r="114" spans="1:9" x14ac:dyDescent="0.2">
      <c r="A114" s="1" t="s">
        <v>4</v>
      </c>
      <c r="B114" s="1" t="s">
        <v>12</v>
      </c>
      <c r="C114" s="1">
        <v>78443.668000000005</v>
      </c>
      <c r="D114" s="1">
        <v>3.9299072000000001E-5</v>
      </c>
      <c r="E114" s="1">
        <v>3951.8982000000001</v>
      </c>
      <c r="F114" s="1">
        <v>343.31051000000002</v>
      </c>
      <c r="G114" s="1">
        <v>11330.199699999999</v>
      </c>
      <c r="H114" s="1">
        <v>19650.377100000002</v>
      </c>
      <c r="I114" s="1">
        <v>4944.6796299999996</v>
      </c>
    </row>
    <row r="115" spans="1:9" x14ac:dyDescent="0.2">
      <c r="A115" s="1" t="s">
        <v>5</v>
      </c>
      <c r="B115" s="1" t="s">
        <v>12</v>
      </c>
      <c r="C115" s="1">
        <v>94650.687999999995</v>
      </c>
      <c r="D115" s="1">
        <v>3.3078467999999998E-5</v>
      </c>
      <c r="E115" s="1">
        <v>6231.0016999999998</v>
      </c>
      <c r="F115" s="1">
        <v>481.58215000000001</v>
      </c>
      <c r="G115" s="1">
        <v>9966.9529999999995</v>
      </c>
      <c r="H115" s="1">
        <v>25064.709200000001</v>
      </c>
      <c r="I115" s="1">
        <v>500.28311000000002</v>
      </c>
    </row>
    <row r="116" spans="1:9" x14ac:dyDescent="0.2">
      <c r="A116" s="1" t="s">
        <v>6</v>
      </c>
      <c r="B116" s="1" t="s">
        <v>12</v>
      </c>
      <c r="C116" s="1">
        <v>9271.0020000000004</v>
      </c>
      <c r="D116" s="1">
        <v>4.0851470000000003E-6</v>
      </c>
      <c r="E116" s="1">
        <v>155.49039999999999</v>
      </c>
      <c r="F116" s="1">
        <v>25.924669999999999</v>
      </c>
      <c r="G116" s="1">
        <v>144.91030000000001</v>
      </c>
      <c r="H116" s="1">
        <v>529.78369999999995</v>
      </c>
      <c r="I116" s="1">
        <v>38.726819999999996</v>
      </c>
    </row>
    <row r="117" spans="1:9" x14ac:dyDescent="0.2">
      <c r="A117" s="1" t="s">
        <v>7</v>
      </c>
      <c r="B117" s="1" t="s">
        <v>12</v>
      </c>
      <c r="C117" s="1">
        <v>114778.71799999999</v>
      </c>
      <c r="D117" s="1">
        <v>6.9996776999999997E-5</v>
      </c>
      <c r="E117" s="1">
        <v>4983.1121000000003</v>
      </c>
      <c r="F117" s="1">
        <v>511.22836000000001</v>
      </c>
      <c r="G117" s="1">
        <v>9521.5550000000003</v>
      </c>
      <c r="H117" s="1">
        <v>13971.902400000001</v>
      </c>
      <c r="I117" s="1">
        <v>234.28116</v>
      </c>
    </row>
    <row r="118" spans="1:9" x14ac:dyDescent="0.2">
      <c r="A118" s="1" t="s">
        <v>8</v>
      </c>
      <c r="B118" s="1" t="s">
        <v>12</v>
      </c>
      <c r="C118" s="1">
        <v>9516.5010000000002</v>
      </c>
      <c r="D118" s="1">
        <v>4.443957E-6</v>
      </c>
      <c r="E118" s="1">
        <v>1391.3807999999999</v>
      </c>
      <c r="F118" s="1">
        <v>229.57194999999999</v>
      </c>
      <c r="G118" s="1">
        <v>3382.9002</v>
      </c>
      <c r="H118" s="1">
        <v>27261.247200000002</v>
      </c>
      <c r="I118" s="1">
        <v>1354.34014</v>
      </c>
    </row>
    <row r="119" spans="1:9" x14ac:dyDescent="0.2">
      <c r="A119" s="1" t="s">
        <v>9</v>
      </c>
      <c r="B119" s="1" t="s">
        <v>12</v>
      </c>
      <c r="C119" s="1">
        <v>8008.5540000000001</v>
      </c>
      <c r="D119" s="1">
        <v>3.3888609999999998E-6</v>
      </c>
      <c r="E119" s="1">
        <v>410.94240000000002</v>
      </c>
      <c r="F119" s="1">
        <v>412.12522000000001</v>
      </c>
      <c r="G119" s="1">
        <v>29193.487499999999</v>
      </c>
      <c r="H119" s="1">
        <v>18427.7575</v>
      </c>
      <c r="I119" s="1">
        <v>645.24766</v>
      </c>
    </row>
    <row r="120" spans="1:9" x14ac:dyDescent="0.2">
      <c r="A120" s="1" t="s">
        <v>10</v>
      </c>
      <c r="B120" s="1" t="s">
        <v>12</v>
      </c>
      <c r="C120" s="1">
        <v>129983.164</v>
      </c>
      <c r="D120" s="1">
        <v>1.3298425E-5</v>
      </c>
      <c r="E120" s="1">
        <v>3137.4715000000001</v>
      </c>
      <c r="F120" s="1">
        <v>470.17538000000002</v>
      </c>
      <c r="G120" s="1">
        <v>7487.0063</v>
      </c>
      <c r="H120" s="1">
        <v>11443.539000000001</v>
      </c>
      <c r="I120" s="1">
        <v>907.53224</v>
      </c>
    </row>
    <row r="121" spans="1:9" x14ac:dyDescent="0.2">
      <c r="A121" s="1" t="s">
        <v>11</v>
      </c>
      <c r="B121" s="1" t="s">
        <v>12</v>
      </c>
      <c r="C121" s="1">
        <v>64986.521000000001</v>
      </c>
      <c r="D121" s="1">
        <v>4.8604842999999997E-5</v>
      </c>
      <c r="E121" s="1">
        <v>1664.3309999999999</v>
      </c>
      <c r="F121" s="1">
        <v>5807.48632</v>
      </c>
      <c r="G121" s="1">
        <v>147253.9362</v>
      </c>
      <c r="H121" s="1">
        <v>38044.024899999997</v>
      </c>
      <c r="I121" s="1">
        <v>2353.3188</v>
      </c>
    </row>
    <row r="122" spans="1:9" x14ac:dyDescent="0.2">
      <c r="A122" s="1" t="s">
        <v>12</v>
      </c>
      <c r="B122" s="1" t="s">
        <v>12</v>
      </c>
      <c r="C122" s="1">
        <v>374403.34299999999</v>
      </c>
      <c r="D122" s="1">
        <v>2.2981685400000001E-4</v>
      </c>
      <c r="E122" s="1">
        <v>18134.2513</v>
      </c>
      <c r="F122" s="1">
        <v>1522.1260500000001</v>
      </c>
      <c r="G122" s="1">
        <v>28526.8567</v>
      </c>
      <c r="H122" s="1">
        <v>126618.091</v>
      </c>
      <c r="I122" s="1">
        <v>2484.4965200000001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C2BF5-26D0-894A-BCF9-74BE303FB731}">
  <dimension ref="A1:I22"/>
  <sheetViews>
    <sheetView workbookViewId="0">
      <selection activeCell="G14" sqref="G14"/>
    </sheetView>
  </sheetViews>
  <sheetFormatPr baseColWidth="10" defaultRowHeight="16" x14ac:dyDescent="0.2"/>
  <cols>
    <col min="3" max="3" width="14.5" customWidth="1"/>
    <col min="4" max="4" width="12.33203125" customWidth="1"/>
    <col min="5" max="5" width="13.6640625" customWidth="1"/>
    <col min="6" max="6" width="17.1640625" customWidth="1"/>
    <col min="7" max="7" width="14.6640625" customWidth="1"/>
    <col min="8" max="8" width="12.1640625" customWidth="1"/>
    <col min="9" max="9" width="17" customWidth="1"/>
  </cols>
  <sheetData>
    <row r="1" spans="1:9" ht="34" x14ac:dyDescent="0.2">
      <c r="B1" s="9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0" t="s">
        <v>34</v>
      </c>
      <c r="H1" s="10" t="s">
        <v>35</v>
      </c>
      <c r="I1" s="10" t="s">
        <v>36</v>
      </c>
    </row>
    <row r="2" spans="1:9" x14ac:dyDescent="0.2">
      <c r="A2" s="3" t="s">
        <v>37</v>
      </c>
      <c r="B2" s="1" t="s">
        <v>27</v>
      </c>
      <c r="C2" s="4">
        <v>31.750360000000001</v>
      </c>
      <c r="D2" s="4">
        <v>31.443629999999999</v>
      </c>
      <c r="E2" s="4">
        <v>13.94218</v>
      </c>
      <c r="F2" s="4">
        <v>9.5783170000000002</v>
      </c>
      <c r="G2" s="4">
        <v>5.2208860000000001</v>
      </c>
      <c r="H2" s="4">
        <v>9.0363430000000005</v>
      </c>
      <c r="I2" s="4">
        <v>3.047053</v>
      </c>
    </row>
    <row r="3" spans="1:9" x14ac:dyDescent="0.2">
      <c r="A3" s="3"/>
      <c r="B3" s="1" t="s">
        <v>28</v>
      </c>
      <c r="C3" s="4">
        <v>8.0099630000000008</v>
      </c>
      <c r="D3" s="4">
        <v>7.3723979999999996</v>
      </c>
      <c r="E3" s="4">
        <v>5.1999959999999996</v>
      </c>
      <c r="F3" s="4">
        <v>7.4012630000000001</v>
      </c>
      <c r="G3" s="4">
        <v>5.6309290000000001</v>
      </c>
      <c r="H3" s="4">
        <v>6.8293879999999998</v>
      </c>
      <c r="I3" s="4">
        <v>7.3143580000000004</v>
      </c>
    </row>
    <row r="4" spans="1:9" x14ac:dyDescent="0.2">
      <c r="A4" s="3" t="s">
        <v>10</v>
      </c>
      <c r="B4" s="1" t="s">
        <v>27</v>
      </c>
      <c r="C4" s="4">
        <v>22.271419999999999</v>
      </c>
      <c r="D4" s="4">
        <v>4.9499129999999996</v>
      </c>
      <c r="E4" s="4">
        <v>23.831160000000001</v>
      </c>
      <c r="F4" s="4">
        <v>15.003439999999999</v>
      </c>
      <c r="G4" s="4">
        <v>15.62439</v>
      </c>
      <c r="H4" s="4">
        <v>11.08892</v>
      </c>
      <c r="I4" s="4">
        <v>9.5897450000000006</v>
      </c>
    </row>
    <row r="5" spans="1:9" x14ac:dyDescent="0.2">
      <c r="A5" s="3"/>
      <c r="B5" s="1" t="s">
        <v>28</v>
      </c>
      <c r="C5" s="4">
        <v>14.00507</v>
      </c>
      <c r="D5" s="4">
        <v>12.362489999999999</v>
      </c>
      <c r="E5" s="4">
        <v>14.60094</v>
      </c>
      <c r="F5" s="4">
        <v>12.769489999999999</v>
      </c>
      <c r="G5" s="4">
        <v>11.06278</v>
      </c>
      <c r="H5" s="4">
        <v>15.79824</v>
      </c>
      <c r="I5" s="4">
        <v>20.985469999999999</v>
      </c>
    </row>
    <row r="6" spans="1:9" x14ac:dyDescent="0.2">
      <c r="A6" s="3" t="s">
        <v>38</v>
      </c>
      <c r="B6" s="1" t="s">
        <v>27</v>
      </c>
      <c r="C6" s="4">
        <v>0.65519039999999995</v>
      </c>
      <c r="D6" s="4">
        <v>1.0185</v>
      </c>
      <c r="E6" s="4">
        <v>3.0095000000000001</v>
      </c>
      <c r="F6" s="4">
        <v>2.366676</v>
      </c>
      <c r="G6" s="4">
        <v>1.590751</v>
      </c>
      <c r="H6" s="4">
        <v>5.0086149999999998</v>
      </c>
      <c r="I6" s="4">
        <v>3.3422230000000002</v>
      </c>
    </row>
    <row r="7" spans="1:9" x14ac:dyDescent="0.2">
      <c r="A7" s="3"/>
      <c r="B7" s="1" t="s">
        <v>28</v>
      </c>
      <c r="C7" s="4">
        <v>2.428388</v>
      </c>
      <c r="D7" s="4">
        <v>2.860633</v>
      </c>
      <c r="E7" s="4">
        <v>2.8273709999999999</v>
      </c>
      <c r="F7" s="4">
        <v>4.9855150000000004</v>
      </c>
      <c r="G7" s="4">
        <v>5.8011309999999998</v>
      </c>
      <c r="H7" s="4">
        <v>3.3815520000000001</v>
      </c>
      <c r="I7" s="4">
        <v>2.133248</v>
      </c>
    </row>
    <row r="8" spans="1:9" x14ac:dyDescent="0.2">
      <c r="A8" s="3" t="s">
        <v>39</v>
      </c>
      <c r="B8" s="1" t="s">
        <v>27</v>
      </c>
      <c r="C8" s="4">
        <v>0.97766240000000004</v>
      </c>
      <c r="D8" s="4">
        <v>0.71648409999999996</v>
      </c>
      <c r="E8" s="4">
        <v>0.85461719999999997</v>
      </c>
      <c r="F8" s="4">
        <v>6.4900849999999997</v>
      </c>
      <c r="G8" s="4">
        <v>17.844889999999999</v>
      </c>
      <c r="H8" s="4">
        <v>5.1608840000000002</v>
      </c>
      <c r="I8" s="4">
        <v>1.2589440000000001</v>
      </c>
    </row>
    <row r="9" spans="1:9" x14ac:dyDescent="0.2">
      <c r="A9" s="3"/>
      <c r="B9" s="1" t="s">
        <v>28</v>
      </c>
      <c r="C9" s="4">
        <v>5.9629779999999997</v>
      </c>
      <c r="D9" s="4">
        <v>5.9479100000000003</v>
      </c>
      <c r="E9" s="4">
        <v>4.465236</v>
      </c>
      <c r="F9" s="4">
        <v>10.755890000000001</v>
      </c>
      <c r="G9" s="4">
        <v>13.173450000000001</v>
      </c>
      <c r="H9" s="4">
        <v>3.6564260000000002</v>
      </c>
      <c r="I9" s="4">
        <v>2.3249919999999999</v>
      </c>
    </row>
    <row r="10" spans="1:9" x14ac:dyDescent="0.2">
      <c r="A10" s="3" t="s">
        <v>12</v>
      </c>
      <c r="B10" s="1" t="s">
        <v>27</v>
      </c>
      <c r="C10" s="4">
        <v>5.981128</v>
      </c>
      <c r="D10" s="4">
        <v>6.6311720000000003</v>
      </c>
      <c r="E10" s="4">
        <v>7.3466810000000002</v>
      </c>
      <c r="F10" s="4">
        <v>3.4048029999999998</v>
      </c>
      <c r="G10" s="4">
        <v>2.5532859999999999</v>
      </c>
      <c r="H10" s="4">
        <v>5.6869449999999997</v>
      </c>
      <c r="I10" s="4">
        <v>0.80685240000000003</v>
      </c>
    </row>
    <row r="11" spans="1:9" x14ac:dyDescent="0.2">
      <c r="A11" s="3"/>
      <c r="B11" s="1" t="s">
        <v>28</v>
      </c>
      <c r="C11" s="4">
        <v>2.955311</v>
      </c>
      <c r="D11" s="4">
        <v>3.763201</v>
      </c>
      <c r="E11" s="4">
        <v>2.897351</v>
      </c>
      <c r="F11" s="4">
        <v>5.39961</v>
      </c>
      <c r="G11" s="4">
        <v>4.8073880000000004</v>
      </c>
      <c r="H11" s="4">
        <v>3.69496</v>
      </c>
      <c r="I11" s="4">
        <v>2.4306709999999998</v>
      </c>
    </row>
    <row r="12" spans="1:9" x14ac:dyDescent="0.2">
      <c r="A12" s="3" t="s">
        <v>11</v>
      </c>
      <c r="B12" s="1" t="s">
        <v>27</v>
      </c>
      <c r="C12" s="4">
        <v>2.6631930000000001</v>
      </c>
      <c r="D12" s="4">
        <v>3.6798310000000001</v>
      </c>
      <c r="E12" s="4">
        <v>1.379497</v>
      </c>
      <c r="F12" s="4">
        <v>24.570049999999998</v>
      </c>
      <c r="G12" s="4">
        <v>23.459620000000001</v>
      </c>
      <c r="H12" s="4">
        <v>6.7116100000000003</v>
      </c>
      <c r="I12" s="4">
        <v>3.4268019999999999</v>
      </c>
    </row>
    <row r="13" spans="1:9" x14ac:dyDescent="0.2">
      <c r="A13" s="3"/>
      <c r="B13" s="1" t="s">
        <v>28</v>
      </c>
      <c r="C13" s="4">
        <v>3.7340819999999999</v>
      </c>
      <c r="D13" s="4">
        <v>4.4630549999999998</v>
      </c>
      <c r="E13" s="4">
        <v>3.249911</v>
      </c>
      <c r="F13" s="4">
        <v>6.6068449999999999</v>
      </c>
      <c r="G13" s="4">
        <v>7.1882099999999998</v>
      </c>
      <c r="H13" s="4">
        <v>6.5761529999999997</v>
      </c>
      <c r="I13" s="4">
        <v>4.5340910000000001</v>
      </c>
    </row>
    <row r="14" spans="1:9" x14ac:dyDescent="0.2">
      <c r="A14" s="3" t="s">
        <v>41</v>
      </c>
      <c r="B14" s="1" t="s">
        <v>27</v>
      </c>
      <c r="C14" s="4">
        <v>5.6458899999999996</v>
      </c>
      <c r="D14" s="4">
        <v>6.2497930000000004</v>
      </c>
      <c r="E14" s="4">
        <v>7.8034049999999997</v>
      </c>
      <c r="F14" s="4">
        <v>7.064584</v>
      </c>
      <c r="G14" s="4">
        <v>8.5268700000000006</v>
      </c>
      <c r="H14" s="4">
        <v>10.84154</v>
      </c>
      <c r="I14" s="4">
        <v>41.40813</v>
      </c>
    </row>
    <row r="15" spans="1:9" x14ac:dyDescent="0.2">
      <c r="A15" s="3"/>
      <c r="B15" s="1" t="s">
        <v>28</v>
      </c>
      <c r="C15" s="4">
        <v>16.456240000000001</v>
      </c>
      <c r="D15" s="4">
        <v>14.503030000000001</v>
      </c>
      <c r="E15" s="4">
        <v>14.81423</v>
      </c>
      <c r="F15" s="4">
        <v>15.12176</v>
      </c>
      <c r="G15" s="4">
        <v>17.459099999999999</v>
      </c>
      <c r="H15" s="4">
        <v>21.786670000000001</v>
      </c>
      <c r="I15" s="4">
        <v>27.941960000000002</v>
      </c>
    </row>
    <row r="16" spans="1:9" x14ac:dyDescent="0.2">
      <c r="A16" s="3" t="s">
        <v>40</v>
      </c>
      <c r="B16" s="1" t="s">
        <v>27</v>
      </c>
      <c r="C16" s="4">
        <v>6.6203200000000004</v>
      </c>
      <c r="D16" s="4">
        <v>5.4113689999999997</v>
      </c>
      <c r="E16" s="4">
        <v>17.008859999999999</v>
      </c>
      <c r="F16" s="4">
        <v>7.9195500000000001</v>
      </c>
      <c r="G16" s="4">
        <v>7.1344770000000004</v>
      </c>
      <c r="H16" s="4">
        <v>12.389329999999999</v>
      </c>
      <c r="I16" s="4">
        <v>2.3219409999999998</v>
      </c>
    </row>
    <row r="17" spans="1:9" x14ac:dyDescent="0.2">
      <c r="A17" s="3"/>
      <c r="B17" s="1" t="s">
        <v>28</v>
      </c>
      <c r="C17" s="4">
        <v>4.5689909999999996</v>
      </c>
      <c r="D17" s="4">
        <v>4.3558849999999998</v>
      </c>
      <c r="E17" s="4">
        <v>5.5690210000000002</v>
      </c>
      <c r="F17" s="4">
        <v>6.3989900000000004</v>
      </c>
      <c r="G17" s="4">
        <v>7.9087550000000002</v>
      </c>
      <c r="H17" s="4">
        <v>5.9668000000000001</v>
      </c>
      <c r="I17" s="4">
        <v>4.7659390000000004</v>
      </c>
    </row>
    <row r="18" spans="1:9" x14ac:dyDescent="0.2">
      <c r="A18" s="3" t="s">
        <v>43</v>
      </c>
      <c r="B18" s="1" t="s">
        <v>27</v>
      </c>
      <c r="C18" s="4">
        <v>22.518940000000001</v>
      </c>
      <c r="D18" s="4">
        <v>22.488309999999998</v>
      </c>
      <c r="E18" s="4">
        <v>8.5289649999999995</v>
      </c>
      <c r="F18" s="4">
        <v>20.81701</v>
      </c>
      <c r="G18" s="4">
        <v>16.892710000000001</v>
      </c>
      <c r="H18" s="4">
        <v>27.854009999999999</v>
      </c>
      <c r="I18" s="4">
        <v>22.172470000000001</v>
      </c>
    </row>
    <row r="19" spans="1:9" x14ac:dyDescent="0.2">
      <c r="A19" s="3"/>
      <c r="B19" s="1" t="s">
        <v>28</v>
      </c>
      <c r="C19" s="4">
        <v>31.33915</v>
      </c>
      <c r="D19" s="4">
        <v>33.12771</v>
      </c>
      <c r="E19" s="4">
        <v>35.366959999999999</v>
      </c>
      <c r="F19" s="4">
        <v>20.893809999999998</v>
      </c>
      <c r="G19" s="4">
        <v>18.481020000000001</v>
      </c>
      <c r="H19" s="4">
        <v>20.49306</v>
      </c>
      <c r="I19" s="4">
        <v>17.83652</v>
      </c>
    </row>
    <row r="20" spans="1:9" x14ac:dyDescent="0.2">
      <c r="A20" s="3" t="s">
        <v>42</v>
      </c>
      <c r="B20" s="1" t="s">
        <v>27</v>
      </c>
      <c r="C20" s="4">
        <v>1.287372</v>
      </c>
      <c r="D20" s="4">
        <v>17.929539999999999</v>
      </c>
      <c r="E20" s="4">
        <v>16.75498</v>
      </c>
      <c r="F20" s="4">
        <v>3.5246170000000001</v>
      </c>
      <c r="G20" s="4">
        <v>1.7024049999999999</v>
      </c>
      <c r="H20" s="4">
        <v>5.6846189999999996</v>
      </c>
      <c r="I20" s="4">
        <v>11.57699</v>
      </c>
    </row>
    <row r="21" spans="1:9" x14ac:dyDescent="0.2">
      <c r="A21" s="3"/>
      <c r="B21" s="1" t="s">
        <v>28</v>
      </c>
      <c r="C21" s="4">
        <v>10.476710000000001</v>
      </c>
      <c r="D21" s="4">
        <v>10.91133</v>
      </c>
      <c r="E21" s="4">
        <v>10.055339999999999</v>
      </c>
      <c r="F21" s="4">
        <v>9.1817550000000008</v>
      </c>
      <c r="G21" s="4">
        <v>7.8954690000000003</v>
      </c>
      <c r="H21" s="4">
        <v>11.57699</v>
      </c>
      <c r="I21" s="4">
        <v>9.6794170000000008</v>
      </c>
    </row>
    <row r="22" spans="1:9" x14ac:dyDescent="0.2">
      <c r="B22" s="1"/>
      <c r="C22" s="5"/>
      <c r="D22" s="5"/>
      <c r="E22" s="5"/>
      <c r="F22" s="5"/>
      <c r="G22" s="5"/>
      <c r="H22" s="5"/>
      <c r="I22" s="5"/>
    </row>
  </sheetData>
  <mergeCells count="10">
    <mergeCell ref="A16:A17"/>
    <mergeCell ref="A14:A15"/>
    <mergeCell ref="A18:A19"/>
    <mergeCell ref="A20:A21"/>
    <mergeCell ref="A2:A3"/>
    <mergeCell ref="A4:A5"/>
    <mergeCell ref="A6:A7"/>
    <mergeCell ref="A8:A9"/>
    <mergeCell ref="A10:A11"/>
    <mergeCell ref="A12:A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8621F-17A8-4443-88D5-1B1B47B3F56C}">
  <dimension ref="A1:S45"/>
  <sheetViews>
    <sheetView workbookViewId="0">
      <selection activeCell="D35" sqref="D35:E45"/>
    </sheetView>
  </sheetViews>
  <sheetFormatPr baseColWidth="10" defaultRowHeight="16" x14ac:dyDescent="0.2"/>
  <cols>
    <col min="2" max="2" width="12.1640625" bestFit="1" customWidth="1"/>
    <col min="3" max="3" width="11.1640625" bestFit="1" customWidth="1"/>
    <col min="4" max="4" width="11.6640625" bestFit="1" customWidth="1"/>
    <col min="5" max="5" width="11.33203125" bestFit="1" customWidth="1"/>
    <col min="9" max="12" width="12.1640625" bestFit="1" customWidth="1"/>
    <col min="16" max="19" width="12.1640625" bestFit="1" customWidth="1"/>
  </cols>
  <sheetData>
    <row r="1" spans="1:19" x14ac:dyDescent="0.2">
      <c r="A1" s="12" t="s">
        <v>13</v>
      </c>
      <c r="H1" s="12" t="s">
        <v>14</v>
      </c>
      <c r="O1" s="12" t="s">
        <v>15</v>
      </c>
    </row>
    <row r="2" spans="1:19" x14ac:dyDescent="0.2">
      <c r="B2" s="12" t="s">
        <v>59</v>
      </c>
      <c r="C2" s="12" t="s">
        <v>60</v>
      </c>
      <c r="D2" s="12" t="s">
        <v>61</v>
      </c>
      <c r="E2" s="12" t="s">
        <v>62</v>
      </c>
      <c r="H2" s="12"/>
      <c r="I2" s="12" t="s">
        <v>59</v>
      </c>
      <c r="J2" s="12" t="s">
        <v>60</v>
      </c>
      <c r="K2" s="12" t="s">
        <v>61</v>
      </c>
      <c r="L2" s="12" t="s">
        <v>62</v>
      </c>
      <c r="P2" s="12" t="s">
        <v>59</v>
      </c>
      <c r="Q2" s="12" t="s">
        <v>60</v>
      </c>
      <c r="R2" s="12" t="s">
        <v>61</v>
      </c>
      <c r="S2" s="12" t="s">
        <v>62</v>
      </c>
    </row>
    <row r="3" spans="1:19" x14ac:dyDescent="0.2">
      <c r="A3" s="12" t="s">
        <v>2</v>
      </c>
      <c r="B3">
        <v>8.1880860440000003</v>
      </c>
      <c r="C3">
        <v>0.12212866</v>
      </c>
      <c r="D3" s="11">
        <v>0.105</v>
      </c>
      <c r="E3" s="11">
        <v>1.2999999999999999E-2</v>
      </c>
      <c r="H3" s="12" t="s">
        <v>2</v>
      </c>
      <c r="I3">
        <v>0.61375253047843825</v>
      </c>
      <c r="J3">
        <v>1.6293211845830931</v>
      </c>
      <c r="K3" s="13">
        <v>0.10910426299414011</v>
      </c>
      <c r="L3" s="13">
        <v>0.17776588702467769</v>
      </c>
      <c r="O3" s="12" t="s">
        <v>2</v>
      </c>
      <c r="P3">
        <v>0.60537224492449171</v>
      </c>
      <c r="Q3">
        <v>1.6518761941666658</v>
      </c>
      <c r="R3" s="13">
        <v>0.10121220059778656</v>
      </c>
      <c r="S3" s="13">
        <v>0.1671900247267048</v>
      </c>
    </row>
    <row r="4" spans="1:19" x14ac:dyDescent="0.2">
      <c r="A4" s="12" t="s">
        <v>3</v>
      </c>
      <c r="B4">
        <v>1.394903064</v>
      </c>
      <c r="C4">
        <v>0.71689568999999997</v>
      </c>
      <c r="D4" s="11">
        <v>0.313</v>
      </c>
      <c r="E4" s="11">
        <v>0.224</v>
      </c>
      <c r="H4" s="12" t="s">
        <v>3</v>
      </c>
      <c r="I4">
        <v>1.4772858036202192</v>
      </c>
      <c r="J4">
        <v>0.67691708506871984</v>
      </c>
      <c r="K4" s="13">
        <v>0.33110072477370456</v>
      </c>
      <c r="L4" s="13">
        <v>0.22412773747795656</v>
      </c>
      <c r="O4" s="12" t="s">
        <v>3</v>
      </c>
      <c r="P4">
        <v>4.1542899579644423</v>
      </c>
      <c r="Q4">
        <v>0.24071502233079303</v>
      </c>
      <c r="R4" s="13">
        <v>0.35579465854552045</v>
      </c>
      <c r="S4" s="13">
        <v>8.5645119176961854E-2</v>
      </c>
    </row>
    <row r="5" spans="1:19" x14ac:dyDescent="0.2">
      <c r="A5" s="12" t="s">
        <v>4</v>
      </c>
      <c r="B5">
        <v>2.9258591279999999</v>
      </c>
      <c r="C5">
        <v>0.34177995</v>
      </c>
      <c r="D5" s="11">
        <v>0.16500000000000001</v>
      </c>
      <c r="E5" s="11">
        <v>5.6000000000000001E-2</v>
      </c>
      <c r="H5" s="12" t="s">
        <v>4</v>
      </c>
      <c r="I5">
        <v>2.3293435964347058</v>
      </c>
      <c r="J5">
        <v>0.42930549255618639</v>
      </c>
      <c r="K5" s="13">
        <v>0.14539253793801427</v>
      </c>
      <c r="L5" s="13">
        <v>6.2417815113473232E-2</v>
      </c>
      <c r="O5" s="12" t="s">
        <v>4</v>
      </c>
      <c r="P5">
        <v>1.9070076610359628</v>
      </c>
      <c r="Q5">
        <v>0.52438174236634161</v>
      </c>
      <c r="R5" s="13">
        <v>0.1494716836033442</v>
      </c>
      <c r="S5" s="13">
        <v>7.8380221882352163E-2</v>
      </c>
    </row>
    <row r="6" spans="1:19" x14ac:dyDescent="0.2">
      <c r="A6" s="12" t="s">
        <v>5</v>
      </c>
      <c r="B6">
        <v>0.69727383099999996</v>
      </c>
      <c r="C6">
        <v>1.4341567900000001</v>
      </c>
      <c r="D6" s="11">
        <v>4.5999999999999999E-2</v>
      </c>
      <c r="E6" s="11">
        <v>6.6000000000000003E-2</v>
      </c>
      <c r="H6" s="12" t="s">
        <v>5</v>
      </c>
      <c r="I6">
        <v>0.81831660030456455</v>
      </c>
      <c r="J6">
        <v>1.222020914188733</v>
      </c>
      <c r="K6" s="13">
        <v>4.4136812832871707E-2</v>
      </c>
      <c r="L6" s="13">
        <v>5.3936108367402882E-2</v>
      </c>
      <c r="O6" s="12" t="s">
        <v>5</v>
      </c>
      <c r="P6">
        <v>0.33082922070724602</v>
      </c>
      <c r="Q6">
        <v>3.0227076008044333</v>
      </c>
      <c r="R6" s="13">
        <v>5.6540605152107334E-2</v>
      </c>
      <c r="S6" s="13">
        <v>0.17090571694735715</v>
      </c>
    </row>
    <row r="7" spans="1:19" x14ac:dyDescent="0.2">
      <c r="A7" s="12" t="s">
        <v>6</v>
      </c>
      <c r="B7">
        <v>0.43137789700000001</v>
      </c>
      <c r="C7">
        <v>2.3181530800000001</v>
      </c>
      <c r="D7" s="11">
        <v>7.0000000000000001E-3</v>
      </c>
      <c r="E7" s="11">
        <v>1.7000000000000001E-2</v>
      </c>
      <c r="H7" s="12" t="s">
        <v>6</v>
      </c>
      <c r="I7">
        <v>0.38941177267138005</v>
      </c>
      <c r="J7">
        <v>2.5679757782872374</v>
      </c>
      <c r="K7" s="13">
        <v>5.6809510627681614E-3</v>
      </c>
      <c r="L7" s="13">
        <v>1.4588544726823778E-2</v>
      </c>
      <c r="O7" s="12" t="s">
        <v>6</v>
      </c>
      <c r="P7">
        <v>0.39623988176919045</v>
      </c>
      <c r="Q7">
        <v>2.5237237491972087</v>
      </c>
      <c r="R7" s="13">
        <v>5.0799744739878396E-3</v>
      </c>
      <c r="S7" s="13">
        <v>1.2820452225318708E-2</v>
      </c>
    </row>
    <row r="8" spans="1:19" x14ac:dyDescent="0.2">
      <c r="A8" s="12" t="s">
        <v>7</v>
      </c>
      <c r="B8">
        <v>0.24601209800000001</v>
      </c>
      <c r="C8">
        <v>4.0648407400000002</v>
      </c>
      <c r="D8" s="11">
        <v>7.3999999999999996E-2</v>
      </c>
      <c r="E8" s="11">
        <v>0.3</v>
      </c>
      <c r="H8" s="12" t="s">
        <v>7</v>
      </c>
      <c r="I8">
        <v>0.23264319967684921</v>
      </c>
      <c r="J8">
        <v>4.2984278130159845</v>
      </c>
      <c r="K8" s="13">
        <v>6.9807222700695462E-2</v>
      </c>
      <c r="L8" s="13">
        <v>0.30006130760607019</v>
      </c>
      <c r="O8" s="12" t="s">
        <v>7</v>
      </c>
      <c r="P8">
        <v>0.38274208037042706</v>
      </c>
      <c r="Q8">
        <v>2.6127255174873265</v>
      </c>
      <c r="R8" s="13">
        <v>4.8952242685687195E-2</v>
      </c>
      <c r="S8" s="13">
        <v>0.12789877360312729</v>
      </c>
    </row>
    <row r="9" spans="1:19" x14ac:dyDescent="0.2">
      <c r="A9" s="12" t="s">
        <v>8</v>
      </c>
      <c r="B9">
        <v>3.7831447389999999</v>
      </c>
      <c r="C9">
        <v>0.26433035999999999</v>
      </c>
      <c r="D9" s="11">
        <v>2.4E-2</v>
      </c>
      <c r="E9" s="11">
        <v>6.0000000000000001E-3</v>
      </c>
      <c r="H9" s="12" t="s">
        <v>8</v>
      </c>
      <c r="I9">
        <v>3.3679637458380709</v>
      </c>
      <c r="J9">
        <v>0.29691531009968275</v>
      </c>
      <c r="K9" s="13">
        <v>2.8848625631688361E-2</v>
      </c>
      <c r="L9" s="13">
        <v>8.5655986253824062E-3</v>
      </c>
      <c r="O9" s="12" t="s">
        <v>8</v>
      </c>
      <c r="P9">
        <v>1.3110203906618945</v>
      </c>
      <c r="Q9">
        <v>0.76276464281011702</v>
      </c>
      <c r="R9" s="13">
        <v>2.8753957092632582E-2</v>
      </c>
      <c r="S9" s="13">
        <v>2.1932501811139322E-2</v>
      </c>
    </row>
    <row r="10" spans="1:19" x14ac:dyDescent="0.2">
      <c r="A10" s="12" t="s">
        <v>9</v>
      </c>
      <c r="B10">
        <v>6.2405892930000002</v>
      </c>
      <c r="C10">
        <v>0.16024128000000001</v>
      </c>
      <c r="D10" s="11">
        <v>0.06</v>
      </c>
      <c r="E10" s="11">
        <v>0.01</v>
      </c>
      <c r="H10" s="12" t="s">
        <v>9</v>
      </c>
      <c r="I10">
        <v>8.5324695368835588</v>
      </c>
      <c r="J10">
        <v>0.11719936363994859</v>
      </c>
      <c r="K10" s="13">
        <v>5.9726422894453707E-2</v>
      </c>
      <c r="L10" s="13">
        <v>6.9998987557204307E-3</v>
      </c>
      <c r="O10" s="12" t="s">
        <v>9</v>
      </c>
      <c r="P10">
        <v>5.325886790128763</v>
      </c>
      <c r="Q10">
        <v>0.18776215856736661</v>
      </c>
      <c r="R10" s="13">
        <v>4.5156007949085843E-2</v>
      </c>
      <c r="S10" s="13">
        <v>8.4785895248055219E-3</v>
      </c>
    </row>
    <row r="11" spans="1:19" x14ac:dyDescent="0.2">
      <c r="A11" s="12" t="s">
        <v>10</v>
      </c>
      <c r="B11">
        <v>0.62982788099999998</v>
      </c>
      <c r="C11">
        <v>1.5877353599999999</v>
      </c>
      <c r="D11" s="11">
        <v>0.14000000000000001</v>
      </c>
      <c r="E11" s="11">
        <v>0.222</v>
      </c>
      <c r="H11" s="12" t="s">
        <v>10</v>
      </c>
      <c r="I11">
        <v>2.5016355754083581</v>
      </c>
      <c r="J11">
        <v>0.39973847902956988</v>
      </c>
      <c r="K11" s="13">
        <v>0.12352400733927046</v>
      </c>
      <c r="L11" s="13">
        <v>4.9377298817437403E-2</v>
      </c>
      <c r="O11" s="12" t="s">
        <v>10</v>
      </c>
      <c r="P11">
        <v>0.61374538608215401</v>
      </c>
      <c r="Q11">
        <v>1.6293401509435432</v>
      </c>
      <c r="R11" s="13">
        <v>0.1469120129632587</v>
      </c>
      <c r="S11" s="13">
        <v>0.23936964137697569</v>
      </c>
    </row>
    <row r="12" spans="1:19" x14ac:dyDescent="0.2">
      <c r="A12" s="12" t="s">
        <v>11</v>
      </c>
      <c r="B12">
        <v>1.4303489030000001</v>
      </c>
      <c r="C12">
        <v>0.69913011999999997</v>
      </c>
      <c r="D12" s="11">
        <v>3.7999999999999999E-2</v>
      </c>
      <c r="E12" s="11">
        <v>2.5999999999999999E-2</v>
      </c>
      <c r="H12" s="12" t="s">
        <v>11</v>
      </c>
      <c r="I12">
        <v>1.2393883982914391</v>
      </c>
      <c r="J12">
        <v>0.80684957304631189</v>
      </c>
      <c r="K12" s="13">
        <v>4.4852025542486552E-2</v>
      </c>
      <c r="L12" s="13">
        <v>3.618883765921755E-2</v>
      </c>
      <c r="O12" s="12" t="s">
        <v>11</v>
      </c>
      <c r="P12">
        <v>2.4030673907853299</v>
      </c>
      <c r="Q12">
        <v>0.41613481329510149</v>
      </c>
      <c r="R12" s="13">
        <v>3.2890187095307694E-2</v>
      </c>
      <c r="S12" s="13">
        <v>1.3686751866146823E-2</v>
      </c>
    </row>
    <row r="13" spans="1:19" x14ac:dyDescent="0.2">
      <c r="A13" s="12" t="s">
        <v>12</v>
      </c>
      <c r="B13">
        <v>0.496427332</v>
      </c>
      <c r="C13">
        <v>2.01439352</v>
      </c>
      <c r="D13" s="11">
        <v>0.03</v>
      </c>
      <c r="E13" s="11">
        <v>0.06</v>
      </c>
      <c r="H13" s="12" t="s">
        <v>12</v>
      </c>
      <c r="I13">
        <v>0.57337960444247138</v>
      </c>
      <c r="J13">
        <v>1.7440452925987056</v>
      </c>
      <c r="K13" s="13">
        <v>3.7826406289906821E-2</v>
      </c>
      <c r="L13" s="13">
        <v>6.5970965825838057E-2</v>
      </c>
      <c r="O13" s="12" t="s">
        <v>12</v>
      </c>
      <c r="P13">
        <v>0.39673760750818055</v>
      </c>
      <c r="Q13">
        <v>2.5205576206419513</v>
      </c>
      <c r="R13" s="13">
        <v>2.9236469841281486E-2</v>
      </c>
      <c r="S13" s="13">
        <v>7.369220685911064E-2</v>
      </c>
    </row>
    <row r="17" spans="1:19" x14ac:dyDescent="0.2">
      <c r="A17" s="12" t="s">
        <v>16</v>
      </c>
      <c r="H17" s="12" t="s">
        <v>17</v>
      </c>
      <c r="O17" s="12" t="s">
        <v>18</v>
      </c>
    </row>
    <row r="18" spans="1:19" x14ac:dyDescent="0.2">
      <c r="B18" s="12" t="s">
        <v>59</v>
      </c>
      <c r="C18" s="12" t="s">
        <v>60</v>
      </c>
      <c r="D18" s="12" t="s">
        <v>61</v>
      </c>
      <c r="E18" s="12" t="s">
        <v>62</v>
      </c>
      <c r="I18" s="12" t="s">
        <v>59</v>
      </c>
      <c r="J18" s="12" t="s">
        <v>60</v>
      </c>
      <c r="K18" s="12" t="s">
        <v>61</v>
      </c>
      <c r="L18" s="12" t="s">
        <v>62</v>
      </c>
      <c r="P18" s="12" t="s">
        <v>59</v>
      </c>
      <c r="Q18" s="12" t="s">
        <v>60</v>
      </c>
      <c r="R18" s="12" t="s">
        <v>61</v>
      </c>
      <c r="S18" s="12" t="s">
        <v>62</v>
      </c>
    </row>
    <row r="19" spans="1:19" x14ac:dyDescent="0.2">
      <c r="A19" s="12" t="s">
        <v>2</v>
      </c>
      <c r="B19">
        <f ca="1">SUMIF($B$2:$B$122, A19,$C$2:$C$122)/SUMIF($A$2:$A$122, A19,$C$2:$C$122)</f>
        <v>2.6232564846667121</v>
      </c>
      <c r="C19">
        <f ca="1">1/B19</f>
        <v>0.38120557629234308</v>
      </c>
      <c r="D19" s="13">
        <f ca="1">SUMIF($B$2:$B$122, A19,$C$2:$C$122)/SUM($C$2:$C$122)</f>
        <v>9.1928693371548062E-2</v>
      </c>
      <c r="E19" s="13">
        <f ca="1">SUMIF($A$2:$A$122, A19,$C$2:$C$122)/SUM($C$2:$C$122)</f>
        <v>3.5043730534503083E-2</v>
      </c>
      <c r="H19" s="12" t="s">
        <v>2</v>
      </c>
      <c r="I19">
        <f ca="1">SUMIF($B$2:$B$122, H19,$C$2:$C$122)/SUMIF($A$2:$A$122, H19,$C$2:$C$122)</f>
        <v>4.6707779972196102</v>
      </c>
      <c r="J19">
        <f ca="1">1/I19</f>
        <v>0.21409709487269002</v>
      </c>
      <c r="K19" s="13">
        <f ca="1">SUMIF($B$2:$B$122, H19,$C$2:$C$122)/SUM($C$2:$C$122)</f>
        <v>7.9264044923931243E-2</v>
      </c>
      <c r="L19" s="13">
        <f ca="1">SUMIF($A$2:$A$122, H19,$C$2:$C$122)/SUM($C$2:$C$122)</f>
        <v>1.6970201746072073E-2</v>
      </c>
      <c r="O19" s="12" t="s">
        <v>2</v>
      </c>
      <c r="P19">
        <f ca="1">SUMIF($B$2:$B$122, O19,$C$2:$C$122)/SUMIF($A$2:$A$122, O19,$C$2:$C$122)</f>
        <v>2.0092801263287923</v>
      </c>
      <c r="Q19">
        <f ca="1">1/P19</f>
        <v>0.49769068379087883</v>
      </c>
      <c r="R19" s="13">
        <f ca="1">SUMIF($B$2:$B$122, O19,$C$2:$C$122)/SUM($C$2:$C$122)</f>
        <v>0.1148865708873659</v>
      </c>
      <c r="S19" s="13">
        <f ca="1">SUMIF($A$2:$A$122, O19,$C$2:$C$122)/SUM($C$2:$C$122)</f>
        <v>5.7177976023322398E-2</v>
      </c>
    </row>
    <row r="20" spans="1:19" x14ac:dyDescent="0.2">
      <c r="A20" s="12" t="s">
        <v>3</v>
      </c>
      <c r="B20">
        <f t="shared" ref="B20:B29" ca="1" si="0">SUMIF($B$2:$B$122, A20,$C$2:$C$122)/SUMIF($A$2:$A$122, A20,$C$2:$C$122)</f>
        <v>1.0066138061907559</v>
      </c>
      <c r="C20">
        <f t="shared" ref="C20:C29" ca="1" si="1">1/B20</f>
        <v>0.99342964883843188</v>
      </c>
      <c r="D20" s="13">
        <f t="shared" ref="D20:D29" ca="1" si="2">SUMIF($B$2:$B$122, A20,$C$2:$C$122)/SUM($C$2:$C$122)</f>
        <v>0.20883292987118016</v>
      </c>
      <c r="E20" s="13">
        <f t="shared" ref="E20:E29" ca="1" si="3">SUMIF($A$2:$A$122, A20,$C$2:$C$122)/SUM($C$2:$C$122)</f>
        <v>0.20746082418782738</v>
      </c>
      <c r="H20" s="12" t="s">
        <v>3</v>
      </c>
      <c r="I20">
        <f t="shared" ref="I20:I29" ca="1" si="4">SUMIF($B$2:$B$122, H20,$C$2:$C$122)/SUMIF($A$2:$A$122, H20,$C$2:$C$122)</f>
        <v>1.0965981118181731</v>
      </c>
      <c r="J20">
        <f t="shared" ref="J20:J29" ca="1" si="5">1/I20</f>
        <v>0.91191110874884485</v>
      </c>
      <c r="K20" s="13">
        <f t="shared" ref="K20:K29" ca="1" si="6">SUMIF($B$2:$B$122, H20,$C$2:$C$122)/SUM($C$2:$C$122)</f>
        <v>0.18519161323122524</v>
      </c>
      <c r="L20" s="13">
        <f t="shared" ref="L20:L29" ca="1" si="7">SUMIF($A$2:$A$122, H20,$C$2:$C$122)/SUM($C$2:$C$122)</f>
        <v>0.16887828935267385</v>
      </c>
      <c r="O20" s="12" t="s">
        <v>3</v>
      </c>
      <c r="P20">
        <f t="shared" ref="P20:P29" ca="1" si="8">SUMIF($B$2:$B$122, O20,$C$2:$C$122)/SUMIF($A$2:$A$122, O20,$C$2:$C$122)</f>
        <v>0.73112662978166021</v>
      </c>
      <c r="Q20">
        <f t="shared" ref="Q20:Q29" ca="1" si="9">1/P20</f>
        <v>1.3677521229101377</v>
      </c>
      <c r="R20" s="13">
        <f t="shared" ref="R20:R29" ca="1" si="10">SUMIF($B$2:$B$122, O20,$C$2:$C$122)/SUM($C$2:$C$122)</f>
        <v>0.20504500495642283</v>
      </c>
      <c r="S20" s="13">
        <f t="shared" ref="S20:S29" ca="1" si="11">SUMIF($A$2:$A$122, O20,$C$2:$C$122)/SUM($C$2:$C$122)</f>
        <v>0.28045074082126703</v>
      </c>
    </row>
    <row r="21" spans="1:19" x14ac:dyDescent="0.2">
      <c r="A21" s="2" t="s">
        <v>4</v>
      </c>
      <c r="B21">
        <f t="shared" ca="1" si="0"/>
        <v>2.1502473243585363</v>
      </c>
      <c r="C21">
        <f t="shared" ca="1" si="1"/>
        <v>0.46506278076561303</v>
      </c>
      <c r="D21" s="13">
        <f t="shared" ca="1" si="2"/>
        <v>0.15161245737987447</v>
      </c>
      <c r="E21" s="13">
        <f t="shared" ca="1" si="3"/>
        <v>7.0509311027792412E-2</v>
      </c>
      <c r="H21" s="2" t="s">
        <v>4</v>
      </c>
      <c r="I21">
        <f t="shared" ca="1" si="4"/>
        <v>2.0533876378476492</v>
      </c>
      <c r="J21">
        <f t="shared" ca="1" si="5"/>
        <v>0.48700010731933452</v>
      </c>
      <c r="K21" s="13">
        <f t="shared" ca="1" si="6"/>
        <v>0.17549648195412032</v>
      </c>
      <c r="L21" s="13">
        <f t="shared" ca="1" si="7"/>
        <v>8.5466805545822269E-2</v>
      </c>
      <c r="O21" s="2" t="s">
        <v>4</v>
      </c>
      <c r="P21">
        <f t="shared" ca="1" si="8"/>
        <v>2.0090854726041716</v>
      </c>
      <c r="Q21">
        <f t="shared" ca="1" si="9"/>
        <v>0.49773890341449856</v>
      </c>
      <c r="R21" s="13">
        <f t="shared" ca="1" si="10"/>
        <v>0.21937695018126105</v>
      </c>
      <c r="S21" s="13">
        <f t="shared" ca="1" si="11"/>
        <v>0.10919244261763797</v>
      </c>
    </row>
    <row r="22" spans="1:19" x14ac:dyDescent="0.2">
      <c r="A22" s="2" t="s">
        <v>5</v>
      </c>
      <c r="B22">
        <f t="shared" ca="1" si="0"/>
        <v>0.81230707776813138</v>
      </c>
      <c r="C22">
        <f t="shared" ca="1" si="1"/>
        <v>1.2310615374022933</v>
      </c>
      <c r="D22" s="13">
        <f t="shared" ca="1" si="2"/>
        <v>6.4119005292995412E-2</v>
      </c>
      <c r="E22" s="13">
        <f t="shared" ca="1" si="3"/>
        <v>7.89344412327007E-2</v>
      </c>
      <c r="H22" s="2" t="s">
        <v>5</v>
      </c>
      <c r="I22">
        <f t="shared" ca="1" si="4"/>
        <v>1.1148119089840276</v>
      </c>
      <c r="J22">
        <f t="shared" ca="1" si="5"/>
        <v>0.8970123048930646</v>
      </c>
      <c r="K22" s="13">
        <f t="shared" ca="1" si="6"/>
        <v>7.9475721366477431E-2</v>
      </c>
      <c r="L22" s="13">
        <f t="shared" ca="1" si="7"/>
        <v>7.1290700005982907E-2</v>
      </c>
      <c r="O22" s="2" t="s">
        <v>5</v>
      </c>
      <c r="P22">
        <f t="shared" ca="1" si="8"/>
        <v>0.48068910275575272</v>
      </c>
      <c r="Q22">
        <f t="shared" ca="1" si="9"/>
        <v>2.0803467236246438</v>
      </c>
      <c r="R22" s="13">
        <f t="shared" ca="1" si="10"/>
        <v>6.0135826089531899E-2</v>
      </c>
      <c r="S22" s="13">
        <f t="shared" ca="1" si="11"/>
        <v>0.12510336877781905</v>
      </c>
    </row>
    <row r="23" spans="1:19" x14ac:dyDescent="0.2">
      <c r="A23" s="2" t="s">
        <v>6</v>
      </c>
      <c r="B23">
        <f t="shared" ca="1" si="0"/>
        <v>0.6249708095647778</v>
      </c>
      <c r="C23">
        <f t="shared" ca="1" si="1"/>
        <v>1.6000747310044576</v>
      </c>
      <c r="D23" s="13">
        <f t="shared" ca="1" si="2"/>
        <v>5.5992494013255905E-3</v>
      </c>
      <c r="E23" s="13">
        <f t="shared" ca="1" si="3"/>
        <v>8.9592174796529148E-3</v>
      </c>
      <c r="H23" s="2" t="s">
        <v>6</v>
      </c>
      <c r="I23">
        <f t="shared" ca="1" si="4"/>
        <v>1.6480209753667199</v>
      </c>
      <c r="J23">
        <f t="shared" ca="1" si="5"/>
        <v>0.60678839344109603</v>
      </c>
      <c r="K23" s="13">
        <f t="shared" ca="1" si="6"/>
        <v>4.0632217022491205E-3</v>
      </c>
      <c r="L23" s="13">
        <f t="shared" ca="1" si="7"/>
        <v>2.4655157689027389E-3</v>
      </c>
      <c r="O23" s="2" t="s">
        <v>6</v>
      </c>
      <c r="P23">
        <f t="shared" ca="1" si="8"/>
        <v>1.0044460778026176</v>
      </c>
      <c r="Q23">
        <f t="shared" ca="1" si="9"/>
        <v>0.99557360230591563</v>
      </c>
      <c r="R23" s="13">
        <f t="shared" ca="1" si="10"/>
        <v>6.9978230935236006E-3</v>
      </c>
      <c r="S23" s="13">
        <f t="shared" ca="1" si="11"/>
        <v>6.9668479455188177E-3</v>
      </c>
    </row>
    <row r="24" spans="1:19" x14ac:dyDescent="0.2">
      <c r="A24" s="2" t="s">
        <v>7</v>
      </c>
      <c r="B24">
        <f t="shared" ca="1" si="0"/>
        <v>0.82785907623273658</v>
      </c>
      <c r="C24">
        <f t="shared" ca="1" si="1"/>
        <v>1.2079350564719415</v>
      </c>
      <c r="D24" s="13">
        <f t="shared" ca="1" si="2"/>
        <v>7.1994894406080354E-2</v>
      </c>
      <c r="E24" s="13">
        <f t="shared" ca="1" si="3"/>
        <v>8.6965156840100144E-2</v>
      </c>
      <c r="H24" s="2" t="s">
        <v>7</v>
      </c>
      <c r="I24">
        <f t="shared" ca="1" si="4"/>
        <v>1.1015311041900722</v>
      </c>
      <c r="J24">
        <f t="shared" ca="1" si="5"/>
        <v>0.90782729257134742</v>
      </c>
      <c r="K24" s="13">
        <f t="shared" ca="1" si="6"/>
        <v>5.4924956609178233E-2</v>
      </c>
      <c r="L24" s="13">
        <f t="shared" ca="1" si="7"/>
        <v>4.9862374653109005E-2</v>
      </c>
      <c r="O24" s="2" t="s">
        <v>7</v>
      </c>
      <c r="P24">
        <f t="shared" ca="1" si="8"/>
        <v>0.74184164839387179</v>
      </c>
      <c r="Q24">
        <f t="shared" ca="1" si="9"/>
        <v>1.3479965733456127</v>
      </c>
      <c r="R24" s="13">
        <f t="shared" ca="1" si="10"/>
        <v>6.271416943875105E-2</v>
      </c>
      <c r="S24" s="13">
        <f t="shared" ca="1" si="11"/>
        <v>8.4538485503652561E-2</v>
      </c>
    </row>
    <row r="25" spans="1:19" x14ac:dyDescent="0.2">
      <c r="A25" s="2" t="s">
        <v>8</v>
      </c>
      <c r="B25">
        <f t="shared" ca="1" si="0"/>
        <v>2.1570144794838315</v>
      </c>
      <c r="C25">
        <f t="shared" ca="1" si="1"/>
        <v>0.46360374930783849</v>
      </c>
      <c r="D25" s="13">
        <f t="shared" ca="1" si="2"/>
        <v>4.9812257770542955E-2</v>
      </c>
      <c r="E25" s="13">
        <f t="shared" ca="1" si="3"/>
        <v>2.3093149463912225E-2</v>
      </c>
      <c r="H25" s="2" t="s">
        <v>8</v>
      </c>
      <c r="I25">
        <f t="shared" ca="1" si="4"/>
        <v>3.7120410502673509</v>
      </c>
      <c r="J25">
        <f t="shared" ca="1" si="5"/>
        <v>0.26939357255437069</v>
      </c>
      <c r="K25" s="13">
        <f t="shared" ca="1" si="6"/>
        <v>5.8027916049429674E-2</v>
      </c>
      <c r="L25" s="13">
        <f t="shared" ca="1" si="7"/>
        <v>1.5632347612440964E-2</v>
      </c>
      <c r="O25" s="2" t="s">
        <v>8</v>
      </c>
      <c r="P25">
        <f t="shared" ca="1" si="8"/>
        <v>0.69296705569100103</v>
      </c>
      <c r="Q25">
        <f t="shared" ca="1" si="9"/>
        <v>1.443070044654341</v>
      </c>
      <c r="R25" s="13">
        <f t="shared" ca="1" si="10"/>
        <v>3.3818342355330204E-2</v>
      </c>
      <c r="S25" s="13">
        <f t="shared" ca="1" si="11"/>
        <v>4.8802236812842147E-2</v>
      </c>
    </row>
    <row r="26" spans="1:19" x14ac:dyDescent="0.2">
      <c r="A26" s="2" t="s">
        <v>9</v>
      </c>
      <c r="B26">
        <f t="shared" ca="1" si="0"/>
        <v>1.6811777135015107</v>
      </c>
      <c r="C26">
        <f t="shared" ca="1" si="1"/>
        <v>0.59482111377578728</v>
      </c>
      <c r="D26" s="13">
        <f t="shared" ca="1" si="2"/>
        <v>0.10776631786645811</v>
      </c>
      <c r="E26" s="13">
        <f t="shared" ca="1" si="3"/>
        <v>6.4101681220842144E-2</v>
      </c>
      <c r="H26" s="2" t="s">
        <v>9</v>
      </c>
      <c r="I26">
        <f t="shared" ca="1" si="4"/>
        <v>0.74797720227631892</v>
      </c>
      <c r="J26">
        <f t="shared" ca="1" si="5"/>
        <v>1.3369391432742872</v>
      </c>
      <c r="K26" s="13">
        <f t="shared" ca="1" si="6"/>
        <v>0.13216665927696922</v>
      </c>
      <c r="L26" s="13">
        <f t="shared" ca="1" si="7"/>
        <v>0.17669878022317584</v>
      </c>
      <c r="O26" s="2" t="s">
        <v>9</v>
      </c>
      <c r="P26">
        <f t="shared" ca="1" si="8"/>
        <v>0.71273625977842914</v>
      </c>
      <c r="Q26">
        <f t="shared" ca="1" si="9"/>
        <v>1.403043532976523</v>
      </c>
      <c r="R26" s="13">
        <f t="shared" ca="1" si="10"/>
        <v>3.6864990091650326E-2</v>
      </c>
      <c r="S26" s="13">
        <f t="shared" ca="1" si="11"/>
        <v>5.1723185941333585E-2</v>
      </c>
    </row>
    <row r="27" spans="1:19" x14ac:dyDescent="0.2">
      <c r="A27" s="2" t="s">
        <v>10</v>
      </c>
      <c r="B27">
        <f t="shared" ca="1" si="0"/>
        <v>0.85456103174262321</v>
      </c>
      <c r="C27">
        <f t="shared" ca="1" si="1"/>
        <v>1.1701914349649167</v>
      </c>
      <c r="D27" s="13">
        <f t="shared" ca="1" si="2"/>
        <v>0.1277480792724757</v>
      </c>
      <c r="E27" s="13">
        <f t="shared" ca="1" si="3"/>
        <v>0.14948970819787027</v>
      </c>
      <c r="H27" s="2" t="s">
        <v>10</v>
      </c>
      <c r="I27">
        <f t="shared" ca="1" si="4"/>
        <v>0.71028193121612349</v>
      </c>
      <c r="J27">
        <f t="shared" ca="1" si="5"/>
        <v>1.4078916498520946</v>
      </c>
      <c r="K27" s="13">
        <f t="shared" ca="1" si="6"/>
        <v>0.1109103488288148</v>
      </c>
      <c r="L27" s="13">
        <f t="shared" ca="1" si="7"/>
        <v>0.15614975399827141</v>
      </c>
      <c r="O27" s="2" t="s">
        <v>10</v>
      </c>
      <c r="P27">
        <f t="shared" ca="1" si="8"/>
        <v>1.4242082499667219</v>
      </c>
      <c r="Q27">
        <f t="shared" ca="1" si="9"/>
        <v>0.70214450732423861</v>
      </c>
      <c r="R27" s="13">
        <f t="shared" ca="1" si="10"/>
        <v>0.15903505204671492</v>
      </c>
      <c r="S27" s="13">
        <f t="shared" ca="1" si="11"/>
        <v>0.1116655882666253</v>
      </c>
    </row>
    <row r="28" spans="1:19" x14ac:dyDescent="0.2">
      <c r="A28" s="2" t="s">
        <v>11</v>
      </c>
      <c r="B28">
        <f t="shared" ca="1" si="0"/>
        <v>0.2756485511109335</v>
      </c>
      <c r="C28">
        <f t="shared" ca="1" si="1"/>
        <v>3.6278079314030371</v>
      </c>
      <c r="D28" s="13">
        <f t="shared" ca="1" si="2"/>
        <v>6.6597647008127425E-2</v>
      </c>
      <c r="E28" s="13">
        <f t="shared" ca="1" si="3"/>
        <v>0.24160347202886442</v>
      </c>
      <c r="H28" s="2" t="s">
        <v>11</v>
      </c>
      <c r="I28">
        <f t="shared" ca="1" si="4"/>
        <v>0.31237584445536426</v>
      </c>
      <c r="J28">
        <f t="shared" ca="1" si="5"/>
        <v>3.2012718580834156</v>
      </c>
      <c r="K28" s="13">
        <f t="shared" ca="1" si="6"/>
        <v>7.2218213307316925E-2</v>
      </c>
      <c r="L28" s="13">
        <f t="shared" ca="1" si="7"/>
        <v>0.23119013390177889</v>
      </c>
      <c r="O28" s="2" t="s">
        <v>11</v>
      </c>
      <c r="P28">
        <f t="shared" ca="1" si="8"/>
        <v>0.95198257071166836</v>
      </c>
      <c r="Q28">
        <f t="shared" ca="1" si="9"/>
        <v>1.0504393995915655</v>
      </c>
      <c r="R28" s="13">
        <f t="shared" ca="1" si="10"/>
        <v>6.3981385875348004E-2</v>
      </c>
      <c r="S28" s="13">
        <f t="shared" ca="1" si="11"/>
        <v>6.7208568563936824E-2</v>
      </c>
    </row>
    <row r="29" spans="1:19" x14ac:dyDescent="0.2">
      <c r="A29" s="2" t="s">
        <v>12</v>
      </c>
      <c r="B29">
        <f t="shared" ca="1" si="0"/>
        <v>1.5954365467792615</v>
      </c>
      <c r="C29">
        <f t="shared" ca="1" si="1"/>
        <v>0.62678769771114951</v>
      </c>
      <c r="D29" s="13">
        <f t="shared" ca="1" si="2"/>
        <v>5.3988468359391695E-2</v>
      </c>
      <c r="E29" s="13">
        <f t="shared" ca="1" si="3"/>
        <v>3.3839307785934358E-2</v>
      </c>
      <c r="H29" s="2" t="s">
        <v>12</v>
      </c>
      <c r="I29">
        <f t="shared" ca="1" si="4"/>
        <v>1.9003992142990433</v>
      </c>
      <c r="J29">
        <f t="shared" ca="1" si="5"/>
        <v>0.52620522702586314</v>
      </c>
      <c r="K29" s="13">
        <f t="shared" ca="1" si="6"/>
        <v>4.8260822750288021E-2</v>
      </c>
      <c r="L29" s="13">
        <f t="shared" ca="1" si="7"/>
        <v>2.5395097191770251E-2</v>
      </c>
      <c r="O29" s="2" t="s">
        <v>12</v>
      </c>
      <c r="P29">
        <f t="shared" ca="1" si="8"/>
        <v>0.64970302567952953</v>
      </c>
      <c r="Q29">
        <f t="shared" ca="1" si="9"/>
        <v>1.5391647575507166</v>
      </c>
      <c r="R29" s="13">
        <f t="shared" ca="1" si="10"/>
        <v>3.714388498410022E-2</v>
      </c>
      <c r="S29" s="13">
        <f t="shared" ca="1" si="11"/>
        <v>5.7170558726044318E-2</v>
      </c>
    </row>
    <row r="33" spans="1:5" x14ac:dyDescent="0.2">
      <c r="A33" s="12" t="s">
        <v>19</v>
      </c>
    </row>
    <row r="34" spans="1:5" x14ac:dyDescent="0.2">
      <c r="B34" s="12" t="s">
        <v>59</v>
      </c>
      <c r="C34" s="12" t="s">
        <v>60</v>
      </c>
      <c r="D34" s="12" t="s">
        <v>61</v>
      </c>
      <c r="E34" s="12" t="s">
        <v>62</v>
      </c>
    </row>
    <row r="35" spans="1:5" x14ac:dyDescent="0.2">
      <c r="A35" s="12" t="s">
        <v>2</v>
      </c>
      <c r="B35">
        <f ca="1">SUMIF($B$2:$B$122, A35,$C$2:$C$122)/SUMIF($A$2:$A$122, A35,$C$2:$C$122)</f>
        <v>0.7696816525261001</v>
      </c>
      <c r="C35">
        <f ca="1">1/B35</f>
        <v>1.2992384536100006</v>
      </c>
      <c r="D35" s="13">
        <f ca="1">SUMIF($B$2:$B$122, A35,$C$2:$C$122)/SUM($C$2:$C$122)</f>
        <v>9.6753106555935373E-2</v>
      </c>
      <c r="E35" s="13">
        <f ca="1">SUMIF($A$2:$A$122, A35,$C$2:$C$122)/SUM($C$2:$C$122)</f>
        <v>0.12570535654369708</v>
      </c>
    </row>
    <row r="36" spans="1:5" x14ac:dyDescent="0.2">
      <c r="A36" s="12" t="s">
        <v>3</v>
      </c>
      <c r="B36">
        <f t="shared" ref="B36:B45" ca="1" si="12">SUMIF($B$2:$B$122, A36,$C$2:$C$122)/SUMIF($A$2:$A$122, A36,$C$2:$C$122)</f>
        <v>0.80332728667807574</v>
      </c>
      <c r="C36">
        <f t="shared" ref="C36:C45" ca="1" si="13">1/B36</f>
        <v>1.2448226477345323</v>
      </c>
      <c r="D36" s="13">
        <f t="shared" ref="D36:D45" ca="1" si="14">SUMIF($B$2:$B$122, A36,$C$2:$C$122)/SUM($C$2:$C$122)</f>
        <v>0.17829350334163602</v>
      </c>
      <c r="E36" s="13">
        <f t="shared" ref="E36:E45" ca="1" si="15">SUMIF($A$2:$A$122, A36,$C$2:$C$122)/SUM($C$2:$C$122)</f>
        <v>0.22194379090360106</v>
      </c>
    </row>
    <row r="37" spans="1:5" x14ac:dyDescent="0.2">
      <c r="A37" s="2" t="s">
        <v>4</v>
      </c>
      <c r="B37">
        <f t="shared" ca="1" si="12"/>
        <v>0.67548371725360878</v>
      </c>
      <c r="C37">
        <f t="shared" ca="1" si="13"/>
        <v>1.4804205852153092</v>
      </c>
      <c r="D37" s="13">
        <f t="shared" ca="1" si="14"/>
        <v>0.27976563888992317</v>
      </c>
      <c r="E37" s="13">
        <f t="shared" ca="1" si="15"/>
        <v>0.41417081084855495</v>
      </c>
    </row>
    <row r="38" spans="1:5" x14ac:dyDescent="0.2">
      <c r="A38" s="2" t="s">
        <v>5</v>
      </c>
      <c r="B38">
        <f t="shared" ca="1" si="12"/>
        <v>2.0498582259600093</v>
      </c>
      <c r="C38">
        <f t="shared" ca="1" si="13"/>
        <v>0.48783861602510115</v>
      </c>
      <c r="D38" s="13">
        <f t="shared" ca="1" si="14"/>
        <v>4.7702544646209197E-2</v>
      </c>
      <c r="E38" s="13">
        <f t="shared" ca="1" si="15"/>
        <v>2.3271143361082294E-2</v>
      </c>
    </row>
    <row r="39" spans="1:5" x14ac:dyDescent="0.2">
      <c r="A39" s="2" t="s">
        <v>6</v>
      </c>
      <c r="B39">
        <f t="shared" ca="1" si="12"/>
        <v>1.254757458936913</v>
      </c>
      <c r="C39">
        <f t="shared" ca="1" si="13"/>
        <v>0.79696677065163257</v>
      </c>
      <c r="D39" s="13">
        <f t="shared" ca="1" si="14"/>
        <v>5.7000071917919651E-3</v>
      </c>
      <c r="E39" s="13">
        <f t="shared" ca="1" si="15"/>
        <v>4.5427163243335232E-3</v>
      </c>
    </row>
    <row r="40" spans="1:5" x14ac:dyDescent="0.2">
      <c r="A40" s="2" t="s">
        <v>7</v>
      </c>
      <c r="B40">
        <f t="shared" ca="1" si="12"/>
        <v>2.5753231497662497</v>
      </c>
      <c r="C40">
        <f t="shared" ca="1" si="13"/>
        <v>0.38830078473482654</v>
      </c>
      <c r="D40" s="13">
        <f t="shared" ca="1" si="14"/>
        <v>6.7621748396695117E-2</v>
      </c>
      <c r="E40" s="13">
        <f t="shared" ca="1" si="15"/>
        <v>2.625757796757771E-2</v>
      </c>
    </row>
    <row r="41" spans="1:5" x14ac:dyDescent="0.2">
      <c r="A41" s="2" t="s">
        <v>8</v>
      </c>
      <c r="B41">
        <f t="shared" ca="1" si="12"/>
        <v>0.6405874898917624</v>
      </c>
      <c r="C41">
        <f t="shared" ca="1" si="13"/>
        <v>1.5610670139202472</v>
      </c>
      <c r="D41" s="13">
        <f t="shared" ca="1" si="14"/>
        <v>2.1332505690003393E-2</v>
      </c>
      <c r="E41" s="13">
        <f t="shared" ca="1" si="15"/>
        <v>3.3301470956930278E-2</v>
      </c>
    </row>
    <row r="42" spans="1:5" x14ac:dyDescent="0.2">
      <c r="A42" s="2" t="s">
        <v>9</v>
      </c>
      <c r="B42">
        <f t="shared" ca="1" si="12"/>
        <v>1.8518890984935272</v>
      </c>
      <c r="C42">
        <f t="shared" ca="1" si="13"/>
        <v>0.53998913909773483</v>
      </c>
      <c r="D42" s="13">
        <f t="shared" ca="1" si="14"/>
        <v>2.3278912100886028E-2</v>
      </c>
      <c r="E42" s="13">
        <f t="shared" ca="1" si="15"/>
        <v>1.2570359704489286E-2</v>
      </c>
    </row>
    <row r="43" spans="1:5" x14ac:dyDescent="0.2">
      <c r="A43" s="2" t="s">
        <v>10</v>
      </c>
      <c r="B43">
        <f t="shared" ca="1" si="12"/>
        <v>2.1896570598793534</v>
      </c>
      <c r="C43">
        <f t="shared" ca="1" si="13"/>
        <v>0.45669251972046176</v>
      </c>
      <c r="D43" s="13">
        <f t="shared" ca="1" si="14"/>
        <v>0.21004163356894351</v>
      </c>
      <c r="E43" s="13">
        <f t="shared" ca="1" si="15"/>
        <v>9.5924442880802749E-2</v>
      </c>
    </row>
    <row r="44" spans="1:5" x14ac:dyDescent="0.2">
      <c r="A44" s="2" t="s">
        <v>11</v>
      </c>
      <c r="B44">
        <f t="shared" ca="1" si="12"/>
        <v>1.3198287296928159</v>
      </c>
      <c r="C44">
        <f t="shared" ca="1" si="13"/>
        <v>0.75767406596213838</v>
      </c>
      <c r="D44" s="13">
        <f t="shared" ca="1" si="14"/>
        <v>4.5194936399374698E-2</v>
      </c>
      <c r="E44" s="13">
        <f t="shared" ca="1" si="15"/>
        <v>3.4243031222614476E-2</v>
      </c>
    </row>
    <row r="45" spans="1:5" x14ac:dyDescent="0.2">
      <c r="A45" s="2" t="s">
        <v>12</v>
      </c>
      <c r="B45">
        <f t="shared" ca="1" si="12"/>
        <v>3.0133301983027816</v>
      </c>
      <c r="C45">
        <f t="shared" ca="1" si="13"/>
        <v>0.33185875234092727</v>
      </c>
      <c r="D45" s="13">
        <f t="shared" ca="1" si="14"/>
        <v>2.4315463218601781E-2</v>
      </c>
      <c r="E45" s="13">
        <f t="shared" ca="1" si="15"/>
        <v>8.0692992863168941E-3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Figure 1 </vt:lpstr>
      <vt:lpstr>Figure 2</vt:lpstr>
      <vt:lpstr>Figure 3 - Sankeys Data</vt:lpstr>
      <vt:lpstr>Figure 4 - Radar Charts</vt:lpstr>
      <vt:lpstr>Ratios and 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Santos Carneiro</dc:creator>
  <cp:lastModifiedBy>Gabriel Santos Carneiro</cp:lastModifiedBy>
  <dcterms:created xsi:type="dcterms:W3CDTF">2025-11-04T09:48:10Z</dcterms:created>
  <dcterms:modified xsi:type="dcterms:W3CDTF">2025-11-04T10:41:30Z</dcterms:modified>
</cp:coreProperties>
</file>