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scarneirog\Downloads\"/>
    </mc:Choice>
  </mc:AlternateContent>
  <xr:revisionPtr revIDLastSave="0" documentId="13_ncr:1_{72C5AE34-876C-4F2E-984F-A9937601E296}" xr6:coauthVersionLast="47" xr6:coauthVersionMax="47" xr10:uidLastSave="{00000000-0000-0000-0000-000000000000}"/>
  <bookViews>
    <workbookView xWindow="47895" yWindow="0" windowWidth="19410" windowHeight="20985" firstSheet="3" activeTab="5" xr2:uid="{1200B013-4F6B-FB49-9E0E-865190F33E3D}"/>
  </bookViews>
  <sheets>
    <sheet name="Figure 1 " sheetId="3" r:id="rId1"/>
    <sheet name="Figure 2" sheetId="4" r:id="rId2"/>
    <sheet name="Figure 3 - Sankeys Data" sheetId="1" r:id="rId3"/>
    <sheet name="Figure 4 - Radar Charts" sheetId="2" r:id="rId4"/>
    <sheet name="Ratios and Shares" sheetId="5" r:id="rId5"/>
    <sheet name="Results per Count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1" i="5" l="1"/>
  <c r="P21" i="5"/>
  <c r="J19" i="5"/>
  <c r="I19" i="5"/>
  <c r="Q23" i="5"/>
  <c r="P23" i="5"/>
  <c r="C37" i="5"/>
  <c r="B37" i="5"/>
  <c r="J20" i="5"/>
  <c r="I20" i="5"/>
  <c r="Q24" i="5"/>
  <c r="P24" i="5"/>
  <c r="J26" i="5"/>
  <c r="I26" i="5"/>
  <c r="J25" i="5"/>
  <c r="I25" i="5"/>
  <c r="C42" i="5"/>
  <c r="B42" i="5"/>
  <c r="J24" i="5"/>
  <c r="I24" i="5"/>
  <c r="J29" i="5"/>
  <c r="I29" i="5"/>
  <c r="Q19" i="5"/>
  <c r="P19" i="5"/>
  <c r="Q22" i="5"/>
  <c r="P22" i="5"/>
  <c r="C40" i="5"/>
  <c r="B40" i="5"/>
  <c r="J21" i="5"/>
  <c r="I21" i="5"/>
  <c r="Q20" i="5"/>
  <c r="P20" i="5"/>
  <c r="J22" i="5"/>
  <c r="I22" i="5"/>
  <c r="C41" i="5"/>
  <c r="B41" i="5"/>
  <c r="Q26" i="5"/>
  <c r="P26" i="5"/>
  <c r="C35" i="5"/>
  <c r="B35" i="5"/>
  <c r="C44" i="5"/>
  <c r="B44" i="5"/>
  <c r="Q29" i="5"/>
  <c r="P29" i="5"/>
  <c r="Q27" i="5"/>
  <c r="P27" i="5"/>
  <c r="J23" i="5"/>
  <c r="I23" i="5"/>
  <c r="E42" i="5"/>
  <c r="S26" i="5"/>
  <c r="E26" i="5"/>
  <c r="B26" i="5"/>
  <c r="C26" i="5"/>
  <c r="L26" i="5"/>
  <c r="E36" i="5"/>
  <c r="L20" i="5"/>
  <c r="E20" i="5"/>
  <c r="B20" i="5"/>
  <c r="C20" i="5"/>
  <c r="S20" i="5"/>
  <c r="S23" i="5"/>
  <c r="L23" i="5"/>
  <c r="E23" i="5"/>
  <c r="B23" i="5"/>
  <c r="C23" i="5"/>
  <c r="E39" i="5"/>
  <c r="L24" i="5"/>
  <c r="E40" i="5"/>
  <c r="E24" i="5"/>
  <c r="B24" i="5"/>
  <c r="C24" i="5"/>
  <c r="S24" i="5"/>
  <c r="L21" i="5"/>
  <c r="E21" i="5"/>
  <c r="S21" i="5"/>
  <c r="B21" i="5"/>
  <c r="C21" i="5"/>
  <c r="E37" i="5"/>
  <c r="K20" i="5"/>
  <c r="R24" i="5"/>
  <c r="K29" i="5"/>
  <c r="R20" i="5"/>
  <c r="K25" i="5"/>
  <c r="D22" i="5"/>
  <c r="D37" i="5"/>
  <c r="D19" i="5"/>
  <c r="R26" i="5"/>
  <c r="K22" i="5"/>
  <c r="D38" i="5"/>
  <c r="D23" i="5"/>
  <c r="D29" i="5"/>
  <c r="R27" i="5"/>
  <c r="K26" i="5"/>
  <c r="D41" i="5"/>
  <c r="R28" i="5"/>
  <c r="D28" i="5"/>
  <c r="D20" i="5"/>
  <c r="K21" i="5"/>
  <c r="R29" i="5"/>
  <c r="K19" i="5"/>
  <c r="D21" i="5"/>
  <c r="K24" i="5"/>
  <c r="D43" i="5"/>
  <c r="D44" i="5"/>
  <c r="K28" i="5"/>
  <c r="D24" i="5"/>
  <c r="R19" i="5"/>
  <c r="D39" i="5"/>
  <c r="R21" i="5"/>
  <c r="D25" i="5"/>
  <c r="D26" i="5"/>
  <c r="D35" i="5"/>
  <c r="R23" i="5"/>
  <c r="D36" i="5"/>
  <c r="D27" i="5"/>
  <c r="D45" i="5"/>
  <c r="R22" i="5"/>
  <c r="R25" i="5"/>
  <c r="K23" i="5"/>
  <c r="K27" i="5"/>
  <c r="D42" i="5"/>
  <c r="D40" i="5"/>
  <c r="L28" i="5"/>
  <c r="E28" i="5"/>
  <c r="S28" i="5"/>
  <c r="B28" i="5"/>
  <c r="C28" i="5"/>
  <c r="E44" i="5"/>
  <c r="L25" i="5"/>
  <c r="S25" i="5"/>
  <c r="E41" i="5"/>
  <c r="B25" i="5"/>
  <c r="C25" i="5"/>
  <c r="E25" i="5"/>
  <c r="S19" i="5"/>
  <c r="E19" i="5"/>
  <c r="L19" i="5"/>
  <c r="C19" i="5"/>
  <c r="E35" i="5"/>
  <c r="B39" i="5"/>
  <c r="C39" i="5"/>
  <c r="P25" i="5"/>
  <c r="Q25" i="5"/>
  <c r="I28" i="5"/>
  <c r="J28" i="5"/>
  <c r="E29" i="5"/>
  <c r="E45" i="5"/>
  <c r="S29" i="5"/>
  <c r="B29" i="5"/>
  <c r="C29" i="5"/>
  <c r="L29" i="5"/>
  <c r="E43" i="5"/>
  <c r="S27" i="5"/>
  <c r="L27" i="5"/>
  <c r="B27" i="5"/>
  <c r="C27" i="5"/>
  <c r="E27" i="5"/>
  <c r="E22" i="5"/>
  <c r="S22" i="5"/>
  <c r="L22" i="5"/>
  <c r="B22" i="5"/>
  <c r="C22" i="5"/>
  <c r="E38" i="5"/>
  <c r="I27" i="5"/>
  <c r="J27" i="5"/>
  <c r="P28" i="5"/>
  <c r="Q28" i="5"/>
  <c r="B43" i="5"/>
  <c r="C43" i="5"/>
  <c r="B45" i="5"/>
  <c r="C45" i="5"/>
  <c r="B38" i="5"/>
  <c r="C38" i="5"/>
  <c r="B19" i="5"/>
  <c r="B36" i="5"/>
  <c r="C36" i="5"/>
</calcChain>
</file>

<file path=xl/sharedStrings.xml><?xml version="1.0" encoding="utf-8"?>
<sst xmlns="http://schemas.openxmlformats.org/spreadsheetml/2006/main" count="624" uniqueCount="232">
  <si>
    <t>Export</t>
  </si>
  <si>
    <t>Import</t>
  </si>
  <si>
    <t>HEAP</t>
  </si>
  <si>
    <t>MEAP</t>
  </si>
  <si>
    <t>HECA</t>
  </si>
  <si>
    <t>MECA</t>
  </si>
  <si>
    <t>HLAC</t>
  </si>
  <si>
    <t>MLAC</t>
  </si>
  <si>
    <t>HMENA</t>
  </si>
  <si>
    <t>MMENA</t>
  </si>
  <si>
    <t>NA</t>
  </si>
  <si>
    <t>SA</t>
  </si>
  <si>
    <t>SSA</t>
  </si>
  <si>
    <t>Biogeochemical Flows</t>
  </si>
  <si>
    <t>Biosphere Integrity</t>
  </si>
  <si>
    <t>Land-System Change</t>
  </si>
  <si>
    <t>Blue Water Consumption</t>
  </si>
  <si>
    <t>Water Stress</t>
  </si>
  <si>
    <t>Climate Change</t>
  </si>
  <si>
    <t>Novel Entities</t>
  </si>
  <si>
    <t>Biogeochemical Flows (tonnes)</t>
  </si>
  <si>
    <t>Biosphere Integrity (PDF)</t>
  </si>
  <si>
    <t>Land-System Change (hectares)</t>
  </si>
  <si>
    <t>Blue Water Consumption (Mm3)</t>
  </si>
  <si>
    <t>Water Stress (Mm3)</t>
  </si>
  <si>
    <t>Climate Change (kilotonnes)</t>
  </si>
  <si>
    <t>Novel Entities (tonnes)</t>
  </si>
  <si>
    <t>Exports</t>
  </si>
  <si>
    <t>Imports</t>
  </si>
  <si>
    <t>Source</t>
  </si>
  <si>
    <t>Biogeochemical Flows (%)</t>
  </si>
  <si>
    <t>Biosphere Integrity (%)</t>
  </si>
  <si>
    <t>Land-System Change (%)</t>
  </si>
  <si>
    <t>Blue Water Consumption (%)</t>
  </si>
  <si>
    <t>Water Stress (%)</t>
  </si>
  <si>
    <t>Climate Change (%)</t>
  </si>
  <si>
    <t>Novel Entities (%)</t>
  </si>
  <si>
    <t>LAC</t>
  </si>
  <si>
    <t>MENA_H</t>
  </si>
  <si>
    <t>MENA_M</t>
  </si>
  <si>
    <t>ECA_M</t>
  </si>
  <si>
    <t>ECA_H</t>
  </si>
  <si>
    <t>EAP_H</t>
  </si>
  <si>
    <t>EAP_M</t>
  </si>
  <si>
    <t>Goods traded only for interindustry consumption (%)</t>
  </si>
  <si>
    <t>Goods traded only for final consumption (%)</t>
  </si>
  <si>
    <t>Goods traded for interindustry and final consumption (%)</t>
  </si>
  <si>
    <t>Not traded (%)</t>
  </si>
  <si>
    <t>Biogeochemical flows: P and N cycles</t>
  </si>
  <si>
    <t>Change in biosphere integrity</t>
  </si>
  <si>
    <t>Land system change</t>
  </si>
  <si>
    <t>Blue water consumption</t>
  </si>
  <si>
    <t>Water stress</t>
  </si>
  <si>
    <t>Climate change</t>
  </si>
  <si>
    <t>Novel entities</t>
  </si>
  <si>
    <t>PBs</t>
  </si>
  <si>
    <t>High Income Countries (%)</t>
  </si>
  <si>
    <t>Medium Income Countries (%)</t>
  </si>
  <si>
    <t>Low Income Countries (%)</t>
  </si>
  <si>
    <t>Import Ratio</t>
  </si>
  <si>
    <t>Export Ratio</t>
  </si>
  <si>
    <t>Share Import</t>
  </si>
  <si>
    <t>Share Export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</si>
  <si>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</si>
  <si>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</si>
  <si>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</si>
  <si>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</si>
  <si>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</si>
  <si>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</si>
  <si>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</si>
  <si>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</si>
  <si>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</si>
  <si>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</si>
  <si>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</si>
  <si>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</si>
  <si>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</si>
  <si>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</si>
  <si>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</si>
  <si>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</si>
  <si>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</si>
  <si>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</si>
  <si>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</si>
  <si>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</si>
  <si>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</si>
  <si>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</si>
  <si>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</si>
  <si>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</si>
  <si>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</si>
  <si>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</si>
  <si>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</si>
  <si>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</si>
  <si>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</si>
  <si>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</si>
  <si>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</si>
  <si>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</si>
  <si>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</si>
  <si>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</si>
  <si>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</si>
  <si>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</si>
  <si>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</si>
  <si>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</si>
  <si>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</si>
  <si>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</si>
  <si>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</si>
  <si>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</si>
  <si>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</si>
  <si>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</si>
  <si>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</si>
  <si>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</si>
  <si>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</si>
  <si>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</si>
  <si>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</si>
  <si>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</si>
  <si>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</si>
  <si>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</si>
  <si>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</si>
  <si>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</si>
  <si>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</si>
  <si>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</si>
  <si>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</si>
  <si>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</si>
  <si>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</si>
  <si>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</si>
  <si>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</si>
  <si>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</si>
  <si>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</si>
  <si>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</si>
  <si>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</si>
  <si>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</si>
  <si>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</si>
  <si>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</si>
  <si>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</si>
  <si>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</si>
  <si>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</si>
  <si>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</si>
  <si>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</si>
  <si>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</si>
  <si>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</si>
  <si>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</si>
  <si>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</si>
  <si>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</si>
  <si>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</si>
  <si>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</si>
  <si>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</si>
  <si>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</si>
  <si>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</si>
  <si>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</si>
  <si>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</si>
  <si>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</si>
  <si>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</si>
  <si>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</si>
  <si>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</si>
  <si>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</si>
  <si>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</si>
  <si>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</si>
  <si>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</si>
  <si>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</si>
  <si>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</si>
  <si>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</si>
  <si>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</si>
  <si>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</si>
  <si>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</si>
  <si>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</si>
  <si>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</si>
  <si>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</si>
  <si>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</si>
  <si>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</si>
  <si>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</si>
  <si>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</si>
  <si>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</si>
  <si>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</si>
  <si>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</si>
  <si>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</si>
  <si>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</si>
  <si>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</si>
  <si>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</si>
  <si>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</si>
  <si>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</si>
  <si>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</si>
  <si>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</si>
  <si>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</si>
  <si>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</si>
  <si>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</si>
  <si>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</si>
  <si>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</si>
  <si>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</si>
  <si>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</si>
  <si>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</si>
  <si>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</si>
  <si>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</si>
  <si>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</si>
  <si>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</si>
  <si>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</si>
  <si>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</si>
  <si>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</si>
  <si>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</si>
  <si>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</si>
  <si>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</si>
  <si>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</si>
  <si>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</si>
  <si>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</si>
  <si>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</si>
  <si>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</si>
  <si>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</si>
  <si>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</si>
  <si>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</si>
  <si>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</si>
  <si>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</si>
  <si>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</si>
  <si>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</si>
  <si>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</si>
  <si>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</si>
  <si>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</si>
  <si>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</si>
  <si>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</si>
  <si>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</si>
  <si>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</si>
  <si>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</si>
  <si>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</si>
  <si>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</si>
  <si>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</si>
  <si>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</si>
  <si>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</si>
  <si>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</si>
  <si>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</si>
  <si>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</si>
  <si>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</si>
  <si>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Countries</t>
  </si>
  <si>
    <t>ImpShare</t>
  </si>
  <si>
    <t>ExpShare</t>
  </si>
  <si>
    <t>Land System Change</t>
  </si>
  <si>
    <t>Blue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</si>
</sst>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2" fontId="0" fillId="0" borderId="0" xfId="0" applyNumberForma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0" fontId="0" fillId="0" borderId="0" xfId="0" applyNumberFormat="1"/>
    <xf numFmtId="0" fontId="5" fillId="0" borderId="0" xfId="0" applyFont="1"/>
    <xf numFmtId="10" fontId="0" fillId="0" borderId="0" xfId="1" applyNumberFormat="1" applyFont="1"/>
    <xf numFmtId="0" fontId="5" fillId="0" borderId="0" xfId="0" applyFont="1" applyAlignment="1">
      <alignment horizontal="center" vertical="center"/>
    </xf>
    <xf numFmtId="0" fontId="1" fillId="0" borderId="0" xfId="2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74" fontId="0" fillId="0" borderId="0" xfId="0" applyNumberFormat="1"/>
    <xf numFmtId="0" fontId="6" fillId="0" borderId="0" xfId="2" applyFont="1" applyAlignment="1">
      <alignment horizontal="left"/>
    </xf>
  </cellXfs>
  <cellStyles count="3">
    <cellStyle name="Normal" xfId="0" builtinId="0"/>
    <cellStyle name="Normal 2" xfId="2" xr:uid="{48F3C8B0-9DE9-4357-BF5B-2F6C8981E2EE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BD74-A7B5-C34F-91E8-7930D12EC40E}">
  <dimension ref="A1:E8"/>
  <sheetViews>
    <sheetView workbookViewId="0">
      <selection activeCell="A3" sqref="A3"/>
    </sheetView>
  </sheetViews>
  <sheetFormatPr baseColWidth="10" defaultRowHeight="15.75" x14ac:dyDescent="0.25"/>
  <cols>
    <col min="1" max="1" width="31.5" bestFit="1" customWidth="1"/>
    <col min="2" max="2" width="27.875" customWidth="1"/>
    <col min="3" max="3" width="26.875" customWidth="1"/>
    <col min="4" max="4" width="32.375" customWidth="1"/>
    <col min="5" max="5" width="13" bestFit="1" customWidth="1"/>
  </cols>
  <sheetData>
    <row r="1" spans="1:5" ht="31.5" x14ac:dyDescent="0.25">
      <c r="A1" s="7" t="s">
        <v>55</v>
      </c>
      <c r="B1" s="6" t="s">
        <v>44</v>
      </c>
      <c r="C1" s="6" t="s">
        <v>45</v>
      </c>
      <c r="D1" s="6" t="s">
        <v>46</v>
      </c>
      <c r="E1" s="6" t="s">
        <v>47</v>
      </c>
    </row>
    <row r="2" spans="1:5" x14ac:dyDescent="0.25">
      <c r="A2" s="2" t="s">
        <v>48</v>
      </c>
      <c r="B2" s="3">
        <v>9.5100999999999996</v>
      </c>
      <c r="C2" s="3">
        <v>8.5121400000000005</v>
      </c>
      <c r="D2" s="3">
        <v>2.1687729999999998</v>
      </c>
      <c r="E2" s="3">
        <v>79.808989999999994</v>
      </c>
    </row>
    <row r="3" spans="1:5" x14ac:dyDescent="0.25">
      <c r="A3" s="2" t="s">
        <v>49</v>
      </c>
      <c r="B3" s="3">
        <v>12.554249</v>
      </c>
      <c r="C3" s="3">
        <v>11.102753</v>
      </c>
      <c r="D3" s="3">
        <v>2.2695850000000002</v>
      </c>
      <c r="E3" s="3">
        <v>74.073409999999996</v>
      </c>
    </row>
    <row r="4" spans="1:5" x14ac:dyDescent="0.25">
      <c r="A4" s="2" t="s">
        <v>50</v>
      </c>
      <c r="B4" s="3">
        <v>15.719101</v>
      </c>
      <c r="C4" s="3">
        <v>10.158740999999999</v>
      </c>
      <c r="D4" s="3">
        <v>2.6967249999999998</v>
      </c>
      <c r="E4" s="3">
        <v>71.425430000000006</v>
      </c>
    </row>
    <row r="5" spans="1:5" x14ac:dyDescent="0.25">
      <c r="A5" s="2" t="s">
        <v>51</v>
      </c>
      <c r="B5" s="3">
        <v>9.044988</v>
      </c>
      <c r="C5" s="3">
        <v>10.719975</v>
      </c>
      <c r="D5" s="3">
        <v>2.2780450000000001</v>
      </c>
      <c r="E5" s="3">
        <v>77.956990000000005</v>
      </c>
    </row>
    <row r="6" spans="1:5" x14ac:dyDescent="0.25">
      <c r="A6" s="2" t="s">
        <v>52</v>
      </c>
      <c r="B6" s="3">
        <v>7.4520569999999999</v>
      </c>
      <c r="C6" s="3">
        <v>10.003767</v>
      </c>
      <c r="D6" s="3">
        <v>2.0068670000000002</v>
      </c>
      <c r="E6" s="3">
        <v>80.537310000000005</v>
      </c>
    </row>
    <row r="7" spans="1:5" x14ac:dyDescent="0.25">
      <c r="A7" s="2" t="s">
        <v>53</v>
      </c>
      <c r="B7" s="3">
        <v>14.164717</v>
      </c>
      <c r="C7" s="3">
        <v>8.2466460000000001</v>
      </c>
      <c r="D7" s="3">
        <v>4.1496750000000002</v>
      </c>
      <c r="E7" s="3">
        <v>73.438969999999998</v>
      </c>
    </row>
    <row r="8" spans="1:5" x14ac:dyDescent="0.25">
      <c r="A8" s="2" t="s">
        <v>54</v>
      </c>
      <c r="B8" s="3">
        <v>25.80836</v>
      </c>
      <c r="C8" s="3">
        <v>16.156541000000001</v>
      </c>
      <c r="D8" s="3">
        <v>8.6594580000000008</v>
      </c>
      <c r="E8" s="3">
        <v>49.375639999999997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28FA-5E48-6E49-BA46-88B843F8AE84}">
  <dimension ref="A1:E9"/>
  <sheetViews>
    <sheetView workbookViewId="0">
      <selection activeCell="A2" sqref="A2:A9"/>
    </sheetView>
  </sheetViews>
  <sheetFormatPr baseColWidth="10" defaultRowHeight="15.75" x14ac:dyDescent="0.25"/>
  <cols>
    <col min="1" max="1" width="31.5" bestFit="1" customWidth="1"/>
    <col min="2" max="2" width="15.5" customWidth="1"/>
    <col min="3" max="3" width="18.375" customWidth="1"/>
    <col min="4" max="4" width="16.375" customWidth="1"/>
  </cols>
  <sheetData>
    <row r="1" spans="1:5" ht="31.5" x14ac:dyDescent="0.25">
      <c r="A1" s="7" t="s">
        <v>55</v>
      </c>
      <c r="B1" s="5" t="s">
        <v>56</v>
      </c>
      <c r="C1" s="5" t="s">
        <v>57</v>
      </c>
      <c r="D1" s="5" t="s">
        <v>58</v>
      </c>
      <c r="E1" s="2"/>
    </row>
    <row r="2" spans="1:5" x14ac:dyDescent="0.25">
      <c r="A2" s="18" t="s">
        <v>48</v>
      </c>
      <c r="B2" s="3">
        <v>44.08475</v>
      </c>
      <c r="C2" s="3">
        <v>41.993699999999997</v>
      </c>
      <c r="D2" s="3">
        <v>13.871510000000001</v>
      </c>
      <c r="E2" s="4"/>
    </row>
    <row r="3" spans="1:5" x14ac:dyDescent="0.25">
      <c r="A3" s="18" t="s">
        <v>49</v>
      </c>
      <c r="B3" s="3">
        <v>41.506700000000002</v>
      </c>
      <c r="C3" s="3">
        <v>42.908740000000002</v>
      </c>
      <c r="D3" s="3">
        <v>15.58361</v>
      </c>
      <c r="E3" s="4"/>
    </row>
    <row r="4" spans="1:5" x14ac:dyDescent="0.25">
      <c r="A4" s="18" t="s">
        <v>50</v>
      </c>
      <c r="B4" s="3">
        <v>43.748559999999998</v>
      </c>
      <c r="C4" s="3">
        <v>44.080849999999998</v>
      </c>
      <c r="D4" s="3">
        <v>12.195690000000001</v>
      </c>
      <c r="E4" s="4"/>
    </row>
    <row r="5" spans="1:5" x14ac:dyDescent="0.25">
      <c r="A5" s="18" t="s">
        <v>51</v>
      </c>
      <c r="B5" s="3">
        <v>43.069339999999997</v>
      </c>
      <c r="C5" s="3">
        <v>34.70608</v>
      </c>
      <c r="D5" s="3">
        <v>22.23358</v>
      </c>
      <c r="E5" s="4"/>
    </row>
    <row r="6" spans="1:5" x14ac:dyDescent="0.25">
      <c r="A6" s="18" t="s">
        <v>52</v>
      </c>
      <c r="B6" s="3">
        <v>43.131360000000001</v>
      </c>
      <c r="C6" s="3">
        <v>34.535649999999997</v>
      </c>
      <c r="D6" s="3">
        <v>22.28032</v>
      </c>
      <c r="E6" s="4"/>
    </row>
    <row r="7" spans="1:5" x14ac:dyDescent="0.25">
      <c r="A7" s="18" t="s">
        <v>53</v>
      </c>
      <c r="B7" s="3">
        <v>53.567050000000002</v>
      </c>
      <c r="C7" s="3">
        <v>34.153880000000001</v>
      </c>
      <c r="D7" s="3">
        <v>12.40071</v>
      </c>
      <c r="E7" s="4"/>
    </row>
    <row r="8" spans="1:5" x14ac:dyDescent="0.25">
      <c r="A8" s="18" t="s">
        <v>54</v>
      </c>
      <c r="B8" s="3">
        <v>61.384250000000002</v>
      </c>
      <c r="C8" s="3">
        <v>30.476410000000001</v>
      </c>
      <c r="D8" s="3">
        <v>8.1621810000000004</v>
      </c>
      <c r="E8" s="4"/>
    </row>
    <row r="9" spans="1:5" x14ac:dyDescent="0.25">
      <c r="A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7B9F-246B-C049-9BC0-CE3C7914DDCC}">
  <dimension ref="A1:I122"/>
  <sheetViews>
    <sheetView workbookViewId="0">
      <selection activeCell="B1" sqref="A1:B1"/>
    </sheetView>
  </sheetViews>
  <sheetFormatPr baseColWidth="10" defaultRowHeight="15.75" x14ac:dyDescent="0.25"/>
  <cols>
    <col min="3" max="3" width="14.5" customWidth="1"/>
    <col min="4" max="4" width="13.375" customWidth="1"/>
    <col min="5" max="5" width="19" customWidth="1"/>
    <col min="6" max="6" width="18.625" customWidth="1"/>
    <col min="7" max="7" width="12.375" customWidth="1"/>
    <col min="8" max="8" width="17.5" customWidth="1"/>
    <col min="9" max="9" width="14.875" customWidth="1"/>
  </cols>
  <sheetData>
    <row r="1" spans="1:9" ht="31.5" x14ac:dyDescent="0.25">
      <c r="A1" s="7" t="s">
        <v>0</v>
      </c>
      <c r="B1" s="7" t="s">
        <v>1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</row>
    <row r="2" spans="1:9" x14ac:dyDescent="0.25">
      <c r="A2" s="1" t="s">
        <v>2</v>
      </c>
      <c r="B2" s="1" t="s">
        <v>2</v>
      </c>
      <c r="C2" s="1">
        <v>80283.085000000006</v>
      </c>
      <c r="D2" s="1">
        <v>3.6962572700000002E-4</v>
      </c>
      <c r="E2" s="1">
        <v>30187.887299999999</v>
      </c>
      <c r="F2" s="1">
        <v>2156.1646999999998</v>
      </c>
      <c r="G2" s="1">
        <v>26494.131000000001</v>
      </c>
      <c r="H2" s="1">
        <v>87971.56</v>
      </c>
      <c r="I2" s="1">
        <v>13725.969800000001</v>
      </c>
    </row>
    <row r="3" spans="1:9" x14ac:dyDescent="0.25">
      <c r="A3" s="1" t="s">
        <v>3</v>
      </c>
      <c r="B3" s="1" t="s">
        <v>2</v>
      </c>
      <c r="C3" s="1">
        <v>1920534.6640000001</v>
      </c>
      <c r="D3" s="1">
        <v>7.8205938799999996E-4</v>
      </c>
      <c r="E3" s="1">
        <v>31551.616600000001</v>
      </c>
      <c r="F3" s="1">
        <v>8644.1476000000002</v>
      </c>
      <c r="G3" s="1">
        <v>202831.17</v>
      </c>
      <c r="H3" s="1">
        <v>560746.21</v>
      </c>
      <c r="I3" s="1">
        <v>35618.500999999997</v>
      </c>
    </row>
    <row r="4" spans="1:9" x14ac:dyDescent="0.25">
      <c r="A4" s="1" t="s">
        <v>4</v>
      </c>
      <c r="B4" s="1" t="s">
        <v>2</v>
      </c>
      <c r="C4" s="1">
        <v>76033.054000000004</v>
      </c>
      <c r="D4" s="1">
        <v>3.7200602000000003E-5</v>
      </c>
      <c r="E4" s="1">
        <v>5185.7855</v>
      </c>
      <c r="F4" s="1">
        <v>672.17160000000001</v>
      </c>
      <c r="G4" s="1">
        <v>21456.347000000002</v>
      </c>
      <c r="H4" s="1">
        <v>45575.56</v>
      </c>
      <c r="I4" s="1">
        <v>21069.6446</v>
      </c>
    </row>
    <row r="5" spans="1:9" x14ac:dyDescent="0.25">
      <c r="A5" s="1" t="s">
        <v>5</v>
      </c>
      <c r="B5" s="1" t="s">
        <v>2</v>
      </c>
      <c r="C5" s="1">
        <v>81112.322</v>
      </c>
      <c r="D5" s="1">
        <v>6.5930358000000007E-5</v>
      </c>
      <c r="E5" s="1">
        <v>21329.8233</v>
      </c>
      <c r="F5" s="1">
        <v>470.62689999999998</v>
      </c>
      <c r="G5" s="1">
        <v>10172.210999999999</v>
      </c>
      <c r="H5" s="1">
        <v>83920.79</v>
      </c>
      <c r="I5" s="1">
        <v>765.52980000000002</v>
      </c>
    </row>
    <row r="6" spans="1:9" x14ac:dyDescent="0.25">
      <c r="A6" s="1" t="s">
        <v>6</v>
      </c>
      <c r="B6" s="1" t="s">
        <v>2</v>
      </c>
      <c r="C6" s="1">
        <v>15866.359</v>
      </c>
      <c r="D6" s="1">
        <v>1.2242427E-5</v>
      </c>
      <c r="E6" s="1">
        <v>1311.8116</v>
      </c>
      <c r="F6" s="1">
        <v>158.85919999999999</v>
      </c>
      <c r="G6" s="1">
        <v>1892.249</v>
      </c>
      <c r="H6" s="1">
        <v>6276.34</v>
      </c>
      <c r="I6" s="1">
        <v>291.77510000000001</v>
      </c>
    </row>
    <row r="7" spans="1:9" x14ac:dyDescent="0.25">
      <c r="A7" s="1" t="s">
        <v>7</v>
      </c>
      <c r="B7" s="1" t="s">
        <v>2</v>
      </c>
      <c r="C7" s="1">
        <v>798676.26599999995</v>
      </c>
      <c r="D7" s="1">
        <v>3.3548402100000001E-4</v>
      </c>
      <c r="E7" s="1">
        <v>15102.0147</v>
      </c>
      <c r="F7" s="1">
        <v>914.14779999999996</v>
      </c>
      <c r="G7" s="1">
        <v>8644.66</v>
      </c>
      <c r="H7" s="1">
        <v>71854.09</v>
      </c>
      <c r="I7" s="1">
        <v>1012.6335</v>
      </c>
    </row>
    <row r="8" spans="1:9" x14ac:dyDescent="0.25">
      <c r="A8" s="1" t="s">
        <v>8</v>
      </c>
      <c r="B8" s="1" t="s">
        <v>2</v>
      </c>
      <c r="C8" s="1">
        <v>8743.3379999999997</v>
      </c>
      <c r="D8" s="1">
        <v>5.6934039999999997E-6</v>
      </c>
      <c r="E8" s="1">
        <v>1498.1498999999999</v>
      </c>
      <c r="F8" s="1">
        <v>130.7852</v>
      </c>
      <c r="G8" s="1">
        <v>3123.989</v>
      </c>
      <c r="H8" s="1">
        <v>45301.82</v>
      </c>
      <c r="I8" s="1">
        <v>2045.202</v>
      </c>
    </row>
    <row r="9" spans="1:9" x14ac:dyDescent="0.25">
      <c r="A9" s="1" t="s">
        <v>9</v>
      </c>
      <c r="B9" s="1" t="s">
        <v>2</v>
      </c>
      <c r="C9" s="1">
        <v>22962.835999999999</v>
      </c>
      <c r="D9" s="1">
        <v>4.0023949999999996E-6</v>
      </c>
      <c r="E9" s="1">
        <v>458.43869999999998</v>
      </c>
      <c r="F9" s="1">
        <v>671.34939999999995</v>
      </c>
      <c r="G9" s="1">
        <v>43640.167999999998</v>
      </c>
      <c r="H9" s="1">
        <v>30540.16</v>
      </c>
      <c r="I9" s="1">
        <v>410.89839999999998</v>
      </c>
    </row>
    <row r="10" spans="1:9" x14ac:dyDescent="0.25">
      <c r="A10" s="1" t="s">
        <v>10</v>
      </c>
      <c r="B10" s="1" t="s">
        <v>2</v>
      </c>
      <c r="C10" s="1">
        <v>1102376.6569999999</v>
      </c>
      <c r="D10" s="1">
        <v>9.6969949999999998E-5</v>
      </c>
      <c r="E10" s="1">
        <v>46392.510799999996</v>
      </c>
      <c r="F10" s="1">
        <v>4458.9201000000003</v>
      </c>
      <c r="G10" s="1">
        <v>90206.96</v>
      </c>
      <c r="H10" s="1">
        <v>130311.16</v>
      </c>
      <c r="I10" s="1">
        <v>10106.658299999999</v>
      </c>
    </row>
    <row r="11" spans="1:9" x14ac:dyDescent="0.25">
      <c r="A11" s="1" t="s">
        <v>11</v>
      </c>
      <c r="B11" s="1" t="s">
        <v>2</v>
      </c>
      <c r="C11" s="1">
        <v>58115.489000000001</v>
      </c>
      <c r="D11" s="1">
        <v>2.4678475999999999E-5</v>
      </c>
      <c r="E11" s="1">
        <v>917.89980000000003</v>
      </c>
      <c r="F11" s="1">
        <v>2543.8991000000001</v>
      </c>
      <c r="G11" s="1">
        <v>60281.087</v>
      </c>
      <c r="H11" s="1">
        <v>55775.33</v>
      </c>
      <c r="I11" s="1">
        <v>1950.5307</v>
      </c>
    </row>
    <row r="12" spans="1:9" x14ac:dyDescent="0.25">
      <c r="A12" s="1" t="s">
        <v>12</v>
      </c>
      <c r="B12" s="1" t="s">
        <v>2</v>
      </c>
      <c r="C12" s="1">
        <v>112069.20699999999</v>
      </c>
      <c r="D12" s="1">
        <v>4.6588738999999997E-5</v>
      </c>
      <c r="E12" s="1">
        <v>4614.7946000000002</v>
      </c>
      <c r="F12" s="1">
        <v>407.89429999999999</v>
      </c>
      <c r="G12" s="1">
        <v>7173.7960000000003</v>
      </c>
      <c r="H12" s="1">
        <v>40569.58</v>
      </c>
      <c r="I12" s="1">
        <v>408.79629999999997</v>
      </c>
    </row>
    <row r="13" spans="1:9" x14ac:dyDescent="0.25">
      <c r="A13" s="1" t="s">
        <v>2</v>
      </c>
      <c r="B13" s="1" t="s">
        <v>3</v>
      </c>
      <c r="C13" s="1">
        <v>296037.84999999998</v>
      </c>
      <c r="D13" s="1">
        <v>1.8824947E-3</v>
      </c>
      <c r="E13" s="1">
        <v>180372.9472</v>
      </c>
      <c r="F13" s="1">
        <v>3582.9149000000002</v>
      </c>
      <c r="G13" s="1">
        <v>45783.803</v>
      </c>
      <c r="H13" s="1">
        <v>260216.77</v>
      </c>
      <c r="I13" s="1">
        <v>57216.563999999998</v>
      </c>
    </row>
    <row r="14" spans="1:9" x14ac:dyDescent="0.25">
      <c r="A14" s="1" t="s">
        <v>3</v>
      </c>
      <c r="B14" s="1" t="s">
        <v>3</v>
      </c>
      <c r="C14" s="1">
        <v>1920398.9</v>
      </c>
      <c r="D14" s="1">
        <v>1.2576478299999999E-3</v>
      </c>
      <c r="E14" s="1">
        <v>41908.859100000001</v>
      </c>
      <c r="F14" s="1">
        <v>11287.7868</v>
      </c>
      <c r="G14" s="1">
        <v>140688.11199999999</v>
      </c>
      <c r="H14" s="1">
        <v>607441.93000000005</v>
      </c>
      <c r="I14" s="1">
        <v>29534.353999999999</v>
      </c>
    </row>
    <row r="15" spans="1:9" x14ac:dyDescent="0.25">
      <c r="A15" s="1" t="s">
        <v>4</v>
      </c>
      <c r="B15" s="1" t="s">
        <v>3</v>
      </c>
      <c r="C15" s="1">
        <v>128464.09</v>
      </c>
      <c r="D15" s="1">
        <v>5.3128670000000003E-5</v>
      </c>
      <c r="E15" s="1">
        <v>10395.444</v>
      </c>
      <c r="F15" s="1">
        <v>910.95809999999994</v>
      </c>
      <c r="G15" s="1">
        <v>21082.311000000002</v>
      </c>
      <c r="H15" s="1">
        <v>91034.79</v>
      </c>
      <c r="I15" s="1">
        <v>33675.156000000003</v>
      </c>
    </row>
    <row r="16" spans="1:9" x14ac:dyDescent="0.25">
      <c r="A16" s="1" t="s">
        <v>5</v>
      </c>
      <c r="B16" s="1" t="s">
        <v>3</v>
      </c>
      <c r="C16" s="1">
        <v>360865.73</v>
      </c>
      <c r="D16" s="1">
        <v>1.5823865999999999E-4</v>
      </c>
      <c r="E16" s="1">
        <v>104070.14690000001</v>
      </c>
      <c r="F16" s="1">
        <v>1896.2371000000001</v>
      </c>
      <c r="G16" s="1">
        <v>37092.008999999998</v>
      </c>
      <c r="H16" s="1">
        <v>253028.4</v>
      </c>
      <c r="I16" s="1">
        <v>2879.902</v>
      </c>
    </row>
    <row r="17" spans="1:9" x14ac:dyDescent="0.25">
      <c r="A17" s="1" t="s">
        <v>6</v>
      </c>
      <c r="B17" s="1" t="s">
        <v>3</v>
      </c>
      <c r="C17" s="1">
        <v>332917.7</v>
      </c>
      <c r="D17" s="1">
        <v>6.5032140000000007E-5</v>
      </c>
      <c r="E17" s="1">
        <v>7806.2091</v>
      </c>
      <c r="F17" s="1">
        <v>422.18439999999998</v>
      </c>
      <c r="G17" s="1">
        <v>4358.6030000000001</v>
      </c>
      <c r="H17" s="1">
        <v>20802.990000000002</v>
      </c>
      <c r="I17" s="1">
        <v>483.90899999999999</v>
      </c>
    </row>
    <row r="18" spans="1:9" x14ac:dyDescent="0.25">
      <c r="A18" s="1" t="s">
        <v>7</v>
      </c>
      <c r="B18" s="1" t="s">
        <v>3</v>
      </c>
      <c r="C18" s="1">
        <v>4988269.83</v>
      </c>
      <c r="D18" s="1">
        <v>1.2288412999999999E-3</v>
      </c>
      <c r="E18" s="1">
        <v>55956.921399999999</v>
      </c>
      <c r="F18" s="1">
        <v>2635.99</v>
      </c>
      <c r="G18" s="1">
        <v>32916.118999999999</v>
      </c>
      <c r="H18" s="1">
        <v>177008.92</v>
      </c>
      <c r="I18" s="1">
        <v>2948.355</v>
      </c>
    </row>
    <row r="19" spans="1:9" x14ac:dyDescent="0.25">
      <c r="A19" s="1" t="s">
        <v>8</v>
      </c>
      <c r="B19" s="1" t="s">
        <v>3</v>
      </c>
      <c r="C19" s="1">
        <v>25844.17</v>
      </c>
      <c r="D19" s="1">
        <v>1.486049E-5</v>
      </c>
      <c r="E19" s="1">
        <v>4530.1575999999995</v>
      </c>
      <c r="F19" s="1">
        <v>389.78820000000002</v>
      </c>
      <c r="G19" s="1">
        <v>6280.0119999999997</v>
      </c>
      <c r="H19" s="1">
        <v>106991.5</v>
      </c>
      <c r="I19" s="1">
        <v>8697.6919999999991</v>
      </c>
    </row>
    <row r="20" spans="1:9" x14ac:dyDescent="0.25">
      <c r="A20" s="1" t="s">
        <v>9</v>
      </c>
      <c r="B20" s="1" t="s">
        <v>3</v>
      </c>
      <c r="C20" s="1">
        <v>32066.53</v>
      </c>
      <c r="D20" s="1">
        <v>4.74261E-6</v>
      </c>
      <c r="E20" s="1">
        <v>612.2944</v>
      </c>
      <c r="F20" s="1">
        <v>1043.0494000000001</v>
      </c>
      <c r="G20" s="1">
        <v>74080.631999999998</v>
      </c>
      <c r="H20" s="1">
        <v>107949.78</v>
      </c>
      <c r="I20" s="1">
        <v>2754.8789999999999</v>
      </c>
    </row>
    <row r="21" spans="1:9" x14ac:dyDescent="0.25">
      <c r="A21" s="1" t="s">
        <v>10</v>
      </c>
      <c r="B21" s="1" t="s">
        <v>3</v>
      </c>
      <c r="C21" s="1">
        <v>3666676.99</v>
      </c>
      <c r="D21" s="1">
        <v>3.6937427000000001E-4</v>
      </c>
      <c r="E21" s="1">
        <v>111431.71709999999</v>
      </c>
      <c r="F21" s="1">
        <v>15505.312400000001</v>
      </c>
      <c r="G21" s="1">
        <v>504730.049</v>
      </c>
      <c r="H21" s="1">
        <v>204486.27</v>
      </c>
      <c r="I21" s="1">
        <v>15821.234</v>
      </c>
    </row>
    <row r="22" spans="1:9" x14ac:dyDescent="0.25">
      <c r="A22" s="1" t="s">
        <v>11</v>
      </c>
      <c r="B22" s="1" t="s">
        <v>3</v>
      </c>
      <c r="C22" s="1">
        <v>224188.35</v>
      </c>
      <c r="D22" s="1">
        <v>1.1423485E-4</v>
      </c>
      <c r="E22" s="1">
        <v>3996.4315999999999</v>
      </c>
      <c r="F22" s="1">
        <v>9342.7106000000003</v>
      </c>
      <c r="G22" s="1">
        <v>217692.96599999999</v>
      </c>
      <c r="H22" s="1">
        <v>128598.12</v>
      </c>
      <c r="I22" s="1">
        <v>5493.5709999999999</v>
      </c>
    </row>
    <row r="23" spans="1:9" x14ac:dyDescent="0.25">
      <c r="A23" s="1" t="s">
        <v>12</v>
      </c>
      <c r="B23" s="1" t="s">
        <v>3</v>
      </c>
      <c r="C23" s="1">
        <v>814897.81</v>
      </c>
      <c r="D23" s="1">
        <v>2.5464637000000001E-4</v>
      </c>
      <c r="E23" s="1">
        <v>36277.604099999997</v>
      </c>
      <c r="F23" s="1">
        <v>1208.5675000000001</v>
      </c>
      <c r="G23" s="1">
        <v>27221.909</v>
      </c>
      <c r="H23" s="1">
        <v>110696.94</v>
      </c>
      <c r="I23" s="1">
        <v>1563.598</v>
      </c>
    </row>
    <row r="24" spans="1:9" x14ac:dyDescent="0.25">
      <c r="A24" s="1" t="s">
        <v>2</v>
      </c>
      <c r="B24" s="1" t="s">
        <v>4</v>
      </c>
      <c r="C24" s="1">
        <v>33361.33</v>
      </c>
      <c r="D24" s="1">
        <v>1.2286356999999999E-4</v>
      </c>
      <c r="E24" s="1">
        <v>8137.7640000000001</v>
      </c>
      <c r="F24" s="1">
        <v>582.40300000000002</v>
      </c>
      <c r="G24" s="1">
        <v>9574.09</v>
      </c>
      <c r="H24" s="1">
        <v>54560.188999999998</v>
      </c>
      <c r="I24" s="1">
        <v>10213.385399999999</v>
      </c>
    </row>
    <row r="25" spans="1:9" x14ac:dyDescent="0.25">
      <c r="A25" s="1" t="s">
        <v>3</v>
      </c>
      <c r="B25" s="1" t="s">
        <v>4</v>
      </c>
      <c r="C25" s="1">
        <v>1358351.67</v>
      </c>
      <c r="D25" s="1">
        <v>4.0265820999999999E-4</v>
      </c>
      <c r="E25" s="1">
        <v>19360.944</v>
      </c>
      <c r="F25" s="1">
        <v>6128.9354000000003</v>
      </c>
      <c r="G25" s="1">
        <v>153994.24100000001</v>
      </c>
      <c r="H25" s="1">
        <v>372323.09499999997</v>
      </c>
      <c r="I25" s="1">
        <v>27936.423500000001</v>
      </c>
    </row>
    <row r="26" spans="1:9" x14ac:dyDescent="0.25">
      <c r="A26" s="1" t="s">
        <v>4</v>
      </c>
      <c r="B26" s="1" t="s">
        <v>4</v>
      </c>
      <c r="C26" s="1">
        <v>1418643.11</v>
      </c>
      <c r="D26" s="1">
        <v>5.7751574999999995E-4</v>
      </c>
      <c r="E26" s="1">
        <v>71221.763999999996</v>
      </c>
      <c r="F26" s="1">
        <v>10288.9203</v>
      </c>
      <c r="G26" s="1">
        <v>335873.37599999999</v>
      </c>
      <c r="H26" s="1">
        <v>675312.321</v>
      </c>
      <c r="I26" s="1">
        <v>176421.2047</v>
      </c>
    </row>
    <row r="27" spans="1:9" x14ac:dyDescent="0.25">
      <c r="A27" s="1" t="s">
        <v>5</v>
      </c>
      <c r="B27" s="1" t="s">
        <v>4</v>
      </c>
      <c r="C27" s="1">
        <v>615458.56999999995</v>
      </c>
      <c r="D27" s="1">
        <v>2.2198388000000001E-4</v>
      </c>
      <c r="E27" s="1">
        <v>49426.747000000003</v>
      </c>
      <c r="F27" s="1">
        <v>2897.0225</v>
      </c>
      <c r="G27" s="1">
        <v>63046.589</v>
      </c>
      <c r="H27" s="1">
        <v>376808.44799999997</v>
      </c>
      <c r="I27" s="1">
        <v>6244.6450000000004</v>
      </c>
    </row>
    <row r="28" spans="1:9" x14ac:dyDescent="0.25">
      <c r="A28" s="1" t="s">
        <v>6</v>
      </c>
      <c r="B28" s="1" t="s">
        <v>4</v>
      </c>
      <c r="C28" s="1">
        <v>73990.210000000006</v>
      </c>
      <c r="D28" s="1">
        <v>3.0224499999999998E-5</v>
      </c>
      <c r="E28" s="1">
        <v>2083.0990000000002</v>
      </c>
      <c r="F28" s="1">
        <v>200.11750000000001</v>
      </c>
      <c r="G28" s="1">
        <v>1551.0119999999999</v>
      </c>
      <c r="H28" s="1">
        <v>8341.4140000000007</v>
      </c>
      <c r="I28" s="1">
        <v>320.7131</v>
      </c>
    </row>
    <row r="29" spans="1:9" x14ac:dyDescent="0.25">
      <c r="A29" s="1" t="s">
        <v>7</v>
      </c>
      <c r="B29" s="1" t="s">
        <v>4</v>
      </c>
      <c r="C29" s="1">
        <v>1932611.91</v>
      </c>
      <c r="D29" s="1">
        <v>6.2337765000000005E-4</v>
      </c>
      <c r="E29" s="1">
        <v>27124.17</v>
      </c>
      <c r="F29" s="1">
        <v>2211.5095999999999</v>
      </c>
      <c r="G29" s="1">
        <v>27507.133000000002</v>
      </c>
      <c r="H29" s="1">
        <v>110931.959</v>
      </c>
      <c r="I29" s="1">
        <v>2220.4949000000001</v>
      </c>
    </row>
    <row r="30" spans="1:9" x14ac:dyDescent="0.25">
      <c r="A30" s="1" t="s">
        <v>8</v>
      </c>
      <c r="B30" s="1" t="s">
        <v>4</v>
      </c>
      <c r="C30" s="1">
        <v>22929.79</v>
      </c>
      <c r="D30" s="1">
        <v>1.37968E-5</v>
      </c>
      <c r="E30" s="1">
        <v>3132.2910000000002</v>
      </c>
      <c r="F30" s="1">
        <v>300.89519999999999</v>
      </c>
      <c r="G30" s="1">
        <v>10445.296</v>
      </c>
      <c r="H30" s="1">
        <v>45703.663</v>
      </c>
      <c r="I30" s="1">
        <v>4191.8001999999997</v>
      </c>
    </row>
    <row r="31" spans="1:9" x14ac:dyDescent="0.25">
      <c r="A31" s="1" t="s">
        <v>9</v>
      </c>
      <c r="B31" s="1" t="s">
        <v>4</v>
      </c>
      <c r="C31" s="1">
        <v>86799.21</v>
      </c>
      <c r="D31" s="1">
        <v>3.5615889999999998E-5</v>
      </c>
      <c r="E31" s="1">
        <v>4752.2550000000001</v>
      </c>
      <c r="F31" s="1">
        <v>3286.0064000000002</v>
      </c>
      <c r="G31" s="1">
        <v>240166.361</v>
      </c>
      <c r="H31" s="1">
        <v>135948.22500000001</v>
      </c>
      <c r="I31" s="1">
        <v>1856.703</v>
      </c>
    </row>
    <row r="32" spans="1:9" x14ac:dyDescent="0.25">
      <c r="A32" s="1" t="s">
        <v>10</v>
      </c>
      <c r="B32" s="1" t="s">
        <v>4</v>
      </c>
      <c r="C32" s="1">
        <v>450449.91999999998</v>
      </c>
      <c r="D32" s="1">
        <v>4.6000820000000003E-5</v>
      </c>
      <c r="E32" s="1">
        <v>18765.151000000002</v>
      </c>
      <c r="F32" s="1">
        <v>1607.2547999999999</v>
      </c>
      <c r="G32" s="1">
        <v>40236.769999999997</v>
      </c>
      <c r="H32" s="1">
        <v>198454.07699999999</v>
      </c>
      <c r="I32" s="1">
        <v>17978.8357</v>
      </c>
    </row>
    <row r="33" spans="1:9" x14ac:dyDescent="0.25">
      <c r="A33" s="1" t="s">
        <v>11</v>
      </c>
      <c r="B33" s="1" t="s">
        <v>4</v>
      </c>
      <c r="C33" s="1">
        <v>159439.09</v>
      </c>
      <c r="D33" s="1">
        <v>5.28546E-5</v>
      </c>
      <c r="E33" s="1">
        <v>2076.0740000000001</v>
      </c>
      <c r="F33" s="1">
        <v>5336.9174000000003</v>
      </c>
      <c r="G33" s="1">
        <v>128589.20699999999</v>
      </c>
      <c r="H33" s="1">
        <v>113289.67</v>
      </c>
      <c r="I33" s="1">
        <v>4429.8896000000004</v>
      </c>
    </row>
    <row r="34" spans="1:9" x14ac:dyDescent="0.25">
      <c r="A34" s="1" t="s">
        <v>12</v>
      </c>
      <c r="B34" s="1" t="s">
        <v>4</v>
      </c>
      <c r="C34" s="1">
        <v>574169.91</v>
      </c>
      <c r="D34" s="1">
        <v>2.4577318000000001E-4</v>
      </c>
      <c r="E34" s="1">
        <v>28069.822</v>
      </c>
      <c r="F34" s="1">
        <v>2171.6727999999998</v>
      </c>
      <c r="G34" s="1">
        <v>42730.993000000002</v>
      </c>
      <c r="H34" s="1">
        <v>121147.405</v>
      </c>
      <c r="I34" s="1">
        <v>924.39909999999998</v>
      </c>
    </row>
    <row r="35" spans="1:9" x14ac:dyDescent="0.25">
      <c r="A35" s="1" t="s">
        <v>2</v>
      </c>
      <c r="B35" s="1" t="s">
        <v>5</v>
      </c>
      <c r="C35" s="1">
        <v>8392.2029999999995</v>
      </c>
      <c r="D35" s="1">
        <v>7.5324100000000006E-5</v>
      </c>
      <c r="E35" s="1">
        <v>7138.7640000000001</v>
      </c>
      <c r="F35" s="1">
        <v>118.15082</v>
      </c>
      <c r="G35" s="1">
        <v>2418.0295000000001</v>
      </c>
      <c r="H35" s="1">
        <v>13693</v>
      </c>
      <c r="I35" s="1">
        <v>2855.47838</v>
      </c>
    </row>
    <row r="36" spans="1:9" x14ac:dyDescent="0.25">
      <c r="A36" s="1" t="s">
        <v>3</v>
      </c>
      <c r="B36" s="1" t="s">
        <v>5</v>
      </c>
      <c r="C36" s="1">
        <v>473985.17499999999</v>
      </c>
      <c r="D36" s="1">
        <v>8.9830749999999997E-5</v>
      </c>
      <c r="E36" s="1">
        <v>3321.712</v>
      </c>
      <c r="F36" s="1">
        <v>1939.7263600000001</v>
      </c>
      <c r="G36" s="1">
        <v>54708.311199999996</v>
      </c>
      <c r="H36" s="1">
        <v>109630.33</v>
      </c>
      <c r="I36" s="1">
        <v>9142.7831200000001</v>
      </c>
    </row>
    <row r="37" spans="1:9" x14ac:dyDescent="0.25">
      <c r="A37" s="1" t="s">
        <v>4</v>
      </c>
      <c r="B37" s="1" t="s">
        <v>5</v>
      </c>
      <c r="C37" s="1">
        <v>171027.49900000001</v>
      </c>
      <c r="D37" s="1">
        <v>7.6586450000000006E-5</v>
      </c>
      <c r="E37" s="1">
        <v>7824.348</v>
      </c>
      <c r="F37" s="1">
        <v>1099.62095</v>
      </c>
      <c r="G37" s="1">
        <v>31290.691900000002</v>
      </c>
      <c r="H37" s="1">
        <v>67088.929999999993</v>
      </c>
      <c r="I37" s="1">
        <v>20422.156910000002</v>
      </c>
    </row>
    <row r="38" spans="1:9" x14ac:dyDescent="0.25">
      <c r="A38" s="1" t="s">
        <v>5</v>
      </c>
      <c r="B38" s="1" t="s">
        <v>5</v>
      </c>
      <c r="C38" s="1">
        <v>594330.71499999997</v>
      </c>
      <c r="D38" s="1">
        <v>1.5852803999999999E-4</v>
      </c>
      <c r="E38" s="1">
        <v>47155.900999999998</v>
      </c>
      <c r="F38" s="1">
        <v>5629.5179399999997</v>
      </c>
      <c r="G38" s="1">
        <v>133175.3118</v>
      </c>
      <c r="H38" s="1">
        <v>244595.95</v>
      </c>
      <c r="I38" s="1">
        <v>4548.4349300000003</v>
      </c>
    </row>
    <row r="39" spans="1:9" x14ac:dyDescent="0.25">
      <c r="A39" s="1" t="s">
        <v>6</v>
      </c>
      <c r="B39" s="1" t="s">
        <v>5</v>
      </c>
      <c r="C39" s="1">
        <v>40666.491999999998</v>
      </c>
      <c r="D39" s="1">
        <v>2.046082E-5</v>
      </c>
      <c r="E39" s="1">
        <v>2190.86</v>
      </c>
      <c r="F39" s="1">
        <v>63.737209999999997</v>
      </c>
      <c r="G39" s="1">
        <v>397.0727</v>
      </c>
      <c r="H39" s="1">
        <v>6022.25</v>
      </c>
      <c r="I39" s="1">
        <v>70.848119999999994</v>
      </c>
    </row>
    <row r="40" spans="1:9" x14ac:dyDescent="0.25">
      <c r="A40" s="1" t="s">
        <v>7</v>
      </c>
      <c r="B40" s="1" t="s">
        <v>5</v>
      </c>
      <c r="C40" s="1">
        <v>301045.05</v>
      </c>
      <c r="D40" s="1">
        <v>2.0479590999999999E-4</v>
      </c>
      <c r="E40" s="1">
        <v>6413.0749999999998</v>
      </c>
      <c r="F40" s="1">
        <v>744.03449000000001</v>
      </c>
      <c r="G40" s="1">
        <v>17685.921600000001</v>
      </c>
      <c r="H40" s="1">
        <v>31396.53</v>
      </c>
      <c r="I40" s="1">
        <v>412.38324</v>
      </c>
    </row>
    <row r="41" spans="1:9" x14ac:dyDescent="0.25">
      <c r="A41" s="1" t="s">
        <v>8</v>
      </c>
      <c r="B41" s="1" t="s">
        <v>5</v>
      </c>
      <c r="C41" s="1">
        <v>17876.832999999999</v>
      </c>
      <c r="D41" s="1">
        <v>1.191231E-5</v>
      </c>
      <c r="E41" s="1">
        <v>1557.1279999999999</v>
      </c>
      <c r="F41" s="1">
        <v>161.30683999999999</v>
      </c>
      <c r="G41" s="1">
        <v>2933.7238000000002</v>
      </c>
      <c r="H41" s="1">
        <v>16377.58</v>
      </c>
      <c r="I41" s="1">
        <v>1411.2670000000001</v>
      </c>
    </row>
    <row r="42" spans="1:9" x14ac:dyDescent="0.25">
      <c r="A42" s="1" t="s">
        <v>9</v>
      </c>
      <c r="B42" s="1" t="s">
        <v>5</v>
      </c>
      <c r="C42" s="1">
        <v>68458.876000000004</v>
      </c>
      <c r="D42" s="1">
        <v>9.4640299999999999E-6</v>
      </c>
      <c r="E42" s="1">
        <v>1196.7270000000001</v>
      </c>
      <c r="F42" s="1">
        <v>2152.4272000000001</v>
      </c>
      <c r="G42" s="1">
        <v>156110.3567</v>
      </c>
      <c r="H42" s="1">
        <v>53345.72</v>
      </c>
      <c r="I42" s="1">
        <v>987.77107000000001</v>
      </c>
    </row>
    <row r="43" spans="1:9" x14ac:dyDescent="0.25">
      <c r="A43" s="1" t="s">
        <v>10</v>
      </c>
      <c r="B43" s="1" t="s">
        <v>5</v>
      </c>
      <c r="C43" s="1">
        <v>84066.422999999995</v>
      </c>
      <c r="D43" s="1">
        <v>1.170409E-5</v>
      </c>
      <c r="E43" s="1">
        <v>3701.8589999999999</v>
      </c>
      <c r="F43" s="1">
        <v>432.74745000000001</v>
      </c>
      <c r="G43" s="1">
        <v>18363.733899999999</v>
      </c>
      <c r="H43" s="1">
        <v>23814.28</v>
      </c>
      <c r="I43" s="1">
        <v>1527.73885</v>
      </c>
    </row>
    <row r="44" spans="1:9" x14ac:dyDescent="0.25">
      <c r="A44" s="1" t="s">
        <v>11</v>
      </c>
      <c r="B44" s="1" t="s">
        <v>5</v>
      </c>
      <c r="C44" s="1">
        <v>52118.133999999998</v>
      </c>
      <c r="D44" s="1">
        <v>2.1389530000000001E-5</v>
      </c>
      <c r="E44" s="1">
        <v>719.49099999999999</v>
      </c>
      <c r="F44" s="1">
        <v>2187.6045300000001</v>
      </c>
      <c r="G44" s="1">
        <v>55329.878299999997</v>
      </c>
      <c r="H44" s="1">
        <v>26028.97</v>
      </c>
      <c r="I44" s="1">
        <v>1398.2015899999999</v>
      </c>
    </row>
    <row r="45" spans="1:9" x14ac:dyDescent="0.25">
      <c r="A45" s="1" t="s">
        <v>12</v>
      </c>
      <c r="B45" s="1" t="s">
        <v>5</v>
      </c>
      <c r="C45" s="1">
        <v>63922.385999999999</v>
      </c>
      <c r="D45" s="1">
        <v>4.0273840000000003E-5</v>
      </c>
      <c r="E45" s="1">
        <v>7352.01</v>
      </c>
      <c r="F45" s="1">
        <v>278.03933999999998</v>
      </c>
      <c r="G45" s="1">
        <v>4774.6832000000004</v>
      </c>
      <c r="H45" s="1">
        <v>14586.99</v>
      </c>
      <c r="I45" s="1">
        <v>317.11144000000002</v>
      </c>
    </row>
    <row r="46" spans="1:9" x14ac:dyDescent="0.25">
      <c r="A46" s="1" t="s">
        <v>2</v>
      </c>
      <c r="B46" s="1" t="s">
        <v>6</v>
      </c>
      <c r="C46" s="1">
        <v>806.31669999999997</v>
      </c>
      <c r="D46" s="1">
        <v>2.1479386000000001E-6</v>
      </c>
      <c r="E46" s="1">
        <v>167.42228</v>
      </c>
      <c r="F46" s="1">
        <v>17.394490000000001</v>
      </c>
      <c r="G46" s="1">
        <v>106.79183</v>
      </c>
      <c r="H46" s="1">
        <v>2197.7755000000002</v>
      </c>
      <c r="I46" s="1">
        <v>334.23394999999999</v>
      </c>
    </row>
    <row r="47" spans="1:9" x14ac:dyDescent="0.25">
      <c r="A47" s="1" t="s">
        <v>3</v>
      </c>
      <c r="B47" s="1" t="s">
        <v>6</v>
      </c>
      <c r="C47" s="1">
        <v>72800.159499999994</v>
      </c>
      <c r="D47" s="1">
        <v>5.4193140999999998E-6</v>
      </c>
      <c r="E47" s="1">
        <v>396.03584000000001</v>
      </c>
      <c r="F47" s="1">
        <v>316.52655399999998</v>
      </c>
      <c r="G47" s="1">
        <v>9870.6681599999993</v>
      </c>
      <c r="H47" s="1">
        <v>21506.5105</v>
      </c>
      <c r="I47" s="1">
        <v>1650.2305100000001</v>
      </c>
    </row>
    <row r="48" spans="1:9" x14ac:dyDescent="0.25">
      <c r="A48" s="1" t="s">
        <v>4</v>
      </c>
      <c r="B48" s="1" t="s">
        <v>6</v>
      </c>
      <c r="C48" s="1">
        <v>3702.4940000000001</v>
      </c>
      <c r="D48" s="1">
        <v>2.7550521E-6</v>
      </c>
      <c r="E48" s="1">
        <v>293.59965</v>
      </c>
      <c r="F48" s="1">
        <v>51.464436999999997</v>
      </c>
      <c r="G48" s="1">
        <v>2163.0639999999999</v>
      </c>
      <c r="H48" s="1">
        <v>3590.8240999999998</v>
      </c>
      <c r="I48" s="1">
        <v>1126.7992099999999</v>
      </c>
    </row>
    <row r="49" spans="1:9" x14ac:dyDescent="0.25">
      <c r="A49" s="1" t="s">
        <v>5</v>
      </c>
      <c r="B49" s="1" t="s">
        <v>6</v>
      </c>
      <c r="C49" s="1">
        <v>2220.9598000000001</v>
      </c>
      <c r="D49" s="1">
        <v>9.4557800000000003E-7</v>
      </c>
      <c r="E49" s="1">
        <v>147.38478000000001</v>
      </c>
      <c r="F49" s="1">
        <v>17.710281999999999</v>
      </c>
      <c r="G49" s="1">
        <v>360.00724000000002</v>
      </c>
      <c r="H49" s="1">
        <v>2367.1419999999998</v>
      </c>
      <c r="I49" s="1">
        <v>58.193210000000001</v>
      </c>
    </row>
    <row r="50" spans="1:9" x14ac:dyDescent="0.25">
      <c r="A50" s="1" t="s">
        <v>6</v>
      </c>
      <c r="B50" s="1" t="s">
        <v>6</v>
      </c>
      <c r="C50" s="1">
        <v>2592.7889</v>
      </c>
      <c r="D50" s="1">
        <v>2.0452870999999999E-6</v>
      </c>
      <c r="E50" s="1">
        <v>89.615819999999999</v>
      </c>
      <c r="F50" s="1">
        <v>16.037929999999999</v>
      </c>
      <c r="G50" s="1">
        <v>62.638509999999997</v>
      </c>
      <c r="H50" s="1">
        <v>327.52940000000001</v>
      </c>
      <c r="I50" s="1">
        <v>50.722389999999997</v>
      </c>
    </row>
    <row r="51" spans="1:9" x14ac:dyDescent="0.25">
      <c r="A51" s="1" t="s">
        <v>7</v>
      </c>
      <c r="B51" s="1" t="s">
        <v>6</v>
      </c>
      <c r="C51" s="1">
        <v>146916.7801</v>
      </c>
      <c r="D51" s="1">
        <v>6.6358250299999996E-5</v>
      </c>
      <c r="E51" s="1">
        <v>4429.97534</v>
      </c>
      <c r="F51" s="1">
        <v>489.77255000000002</v>
      </c>
      <c r="G51" s="1">
        <v>4455.6697400000003</v>
      </c>
      <c r="H51" s="1">
        <v>20673.708699999999</v>
      </c>
      <c r="I51" s="1">
        <v>769.61298999999997</v>
      </c>
    </row>
    <row r="52" spans="1:9" x14ac:dyDescent="0.25">
      <c r="A52" s="1" t="s">
        <v>8</v>
      </c>
      <c r="B52" s="1" t="s">
        <v>6</v>
      </c>
      <c r="C52" s="1">
        <v>9647.1103999999996</v>
      </c>
      <c r="D52" s="1">
        <v>5.1690699999999998E-6</v>
      </c>
      <c r="E52" s="1">
        <v>558.0575</v>
      </c>
      <c r="F52" s="1">
        <v>104.400997</v>
      </c>
      <c r="G52" s="1">
        <v>1997.71507</v>
      </c>
      <c r="H52" s="1">
        <v>4052.4582</v>
      </c>
      <c r="I52" s="1">
        <v>76.704549999999998</v>
      </c>
    </row>
    <row r="53" spans="1:9" x14ac:dyDescent="0.25">
      <c r="A53" s="1" t="s">
        <v>9</v>
      </c>
      <c r="B53" s="1" t="s">
        <v>6</v>
      </c>
      <c r="C53" s="1">
        <v>235.9195</v>
      </c>
      <c r="D53" s="1">
        <v>1.2713549999999999E-7</v>
      </c>
      <c r="E53" s="1">
        <v>10.2896</v>
      </c>
      <c r="F53" s="1">
        <v>8.3052659999999996</v>
      </c>
      <c r="G53" s="1">
        <v>610.31823999999995</v>
      </c>
      <c r="H53" s="1">
        <v>753.95100000000002</v>
      </c>
      <c r="I53" s="1">
        <v>26.77788</v>
      </c>
    </row>
    <row r="54" spans="1:9" x14ac:dyDescent="0.25">
      <c r="A54" s="1" t="s">
        <v>10</v>
      </c>
      <c r="B54" s="1" t="s">
        <v>6</v>
      </c>
      <c r="C54" s="1">
        <v>54682.075299999997</v>
      </c>
      <c r="D54" s="1">
        <v>6.0126748000000001E-6</v>
      </c>
      <c r="E54" s="1">
        <v>1763.1110000000001</v>
      </c>
      <c r="F54" s="1">
        <v>188.73559</v>
      </c>
      <c r="G54" s="1">
        <v>2846.3998099999999</v>
      </c>
      <c r="H54" s="1">
        <v>11223.128699999999</v>
      </c>
      <c r="I54" s="1">
        <v>905.45275000000004</v>
      </c>
    </row>
    <row r="55" spans="1:9" x14ac:dyDescent="0.25">
      <c r="A55" s="1" t="s">
        <v>11</v>
      </c>
      <c r="B55" s="1" t="s">
        <v>6</v>
      </c>
      <c r="C55" s="1">
        <v>2364.529</v>
      </c>
      <c r="D55" s="1">
        <v>8.4684120000000004E-7</v>
      </c>
      <c r="E55" s="1">
        <v>25.685690000000001</v>
      </c>
      <c r="F55" s="1">
        <v>75.473884999999996</v>
      </c>
      <c r="G55" s="1">
        <v>1791.60717</v>
      </c>
      <c r="H55" s="1">
        <v>2586.0675000000001</v>
      </c>
      <c r="I55" s="1">
        <v>137.94636</v>
      </c>
    </row>
    <row r="56" spans="1:9" x14ac:dyDescent="0.25">
      <c r="A56" s="1" t="s">
        <v>12</v>
      </c>
      <c r="B56" s="1" t="s">
        <v>6</v>
      </c>
      <c r="C56" s="1">
        <v>1066.4635000000001</v>
      </c>
      <c r="D56" s="1">
        <v>8.8045589999999999E-7</v>
      </c>
      <c r="E56" s="1">
        <v>76.693889999999996</v>
      </c>
      <c r="F56" s="1">
        <v>7.2049320000000003</v>
      </c>
      <c r="G56" s="1">
        <v>131.49493000000001</v>
      </c>
      <c r="H56" s="1">
        <v>1306.8349000000001</v>
      </c>
      <c r="I56" s="1">
        <v>12.676349999999999</v>
      </c>
    </row>
    <row r="57" spans="1:9" x14ac:dyDescent="0.25">
      <c r="A57" s="1" t="s">
        <v>2</v>
      </c>
      <c r="B57" s="1" t="s">
        <v>7</v>
      </c>
      <c r="C57" s="1">
        <v>6576.6750000000002</v>
      </c>
      <c r="D57" s="1">
        <v>2.4122675E-5</v>
      </c>
      <c r="E57" s="1">
        <v>2019.2594999999999</v>
      </c>
      <c r="F57" s="1">
        <v>107.17619999999999</v>
      </c>
      <c r="G57" s="1">
        <v>1043.51</v>
      </c>
      <c r="H57" s="1">
        <v>15334.55</v>
      </c>
      <c r="I57" s="1">
        <v>3388.0324999999998</v>
      </c>
    </row>
    <row r="58" spans="1:9" x14ac:dyDescent="0.25">
      <c r="A58" s="1" t="s">
        <v>3</v>
      </c>
      <c r="B58" s="1" t="s">
        <v>7</v>
      </c>
      <c r="C58" s="1">
        <v>326683.821</v>
      </c>
      <c r="D58" s="1">
        <v>8.0246469E-5</v>
      </c>
      <c r="E58" s="1">
        <v>3604.4090999999999</v>
      </c>
      <c r="F58" s="1">
        <v>2067.0500000000002</v>
      </c>
      <c r="G58" s="1">
        <v>57257.413999999997</v>
      </c>
      <c r="H58" s="1">
        <v>138906.01</v>
      </c>
      <c r="I58" s="1">
        <v>13424.624100000001</v>
      </c>
    </row>
    <row r="59" spans="1:9" x14ac:dyDescent="0.25">
      <c r="A59" s="1" t="s">
        <v>4</v>
      </c>
      <c r="B59" s="1" t="s">
        <v>7</v>
      </c>
      <c r="C59" s="1">
        <v>31689.831999999999</v>
      </c>
      <c r="D59" s="1">
        <v>2.290435E-5</v>
      </c>
      <c r="E59" s="1">
        <v>2085.6903000000002</v>
      </c>
      <c r="F59" s="1">
        <v>420.76620000000003</v>
      </c>
      <c r="G59" s="1">
        <v>15212.562</v>
      </c>
      <c r="H59" s="1">
        <v>28975.79</v>
      </c>
      <c r="I59" s="1">
        <v>13342.4545</v>
      </c>
    </row>
    <row r="60" spans="1:9" x14ac:dyDescent="0.25">
      <c r="A60" s="1" t="s">
        <v>5</v>
      </c>
      <c r="B60" s="1" t="s">
        <v>7</v>
      </c>
      <c r="C60" s="1">
        <v>40030.68</v>
      </c>
      <c r="D60" s="1">
        <v>2.2180772E-5</v>
      </c>
      <c r="E60" s="1">
        <v>3209.8226</v>
      </c>
      <c r="F60" s="1">
        <v>335.03210000000001</v>
      </c>
      <c r="G60" s="1">
        <v>6139.6289999999999</v>
      </c>
      <c r="H60" s="1">
        <v>57275.83</v>
      </c>
      <c r="I60" s="1">
        <v>1587.7363</v>
      </c>
    </row>
    <row r="61" spans="1:9" x14ac:dyDescent="0.25">
      <c r="A61" s="1" t="s">
        <v>6</v>
      </c>
      <c r="B61" s="1" t="s">
        <v>7</v>
      </c>
      <c r="C61" s="1">
        <v>106310.505</v>
      </c>
      <c r="D61" s="1">
        <v>5.7156693999999998E-5</v>
      </c>
      <c r="E61" s="1">
        <v>2602.0817999999999</v>
      </c>
      <c r="F61" s="1">
        <v>707.81979999999999</v>
      </c>
      <c r="G61" s="1">
        <v>3695.2570000000001</v>
      </c>
      <c r="H61" s="1">
        <v>12287.17</v>
      </c>
      <c r="I61" s="1">
        <v>1630.2258999999999</v>
      </c>
    </row>
    <row r="62" spans="1:9" x14ac:dyDescent="0.25">
      <c r="A62" s="1" t="s">
        <v>7</v>
      </c>
      <c r="B62" s="1" t="s">
        <v>7</v>
      </c>
      <c r="C62" s="1">
        <v>901057.10800000001</v>
      </c>
      <c r="D62" s="1">
        <v>7.4454053600000005E-4</v>
      </c>
      <c r="E62" s="1">
        <v>26134.248100000001</v>
      </c>
      <c r="F62" s="1">
        <v>3894.8038000000001</v>
      </c>
      <c r="G62" s="1">
        <v>54899.826000000001</v>
      </c>
      <c r="H62" s="1">
        <v>119455.26</v>
      </c>
      <c r="I62" s="1">
        <v>6032.2782999999999</v>
      </c>
    </row>
    <row r="63" spans="1:9" x14ac:dyDescent="0.25">
      <c r="A63" s="1" t="s">
        <v>8</v>
      </c>
      <c r="B63" s="1" t="s">
        <v>7</v>
      </c>
      <c r="C63" s="1">
        <v>44160.459000000003</v>
      </c>
      <c r="D63" s="1">
        <v>2.6696810999999998E-5</v>
      </c>
      <c r="E63" s="1">
        <v>2606.7800999999999</v>
      </c>
      <c r="F63" s="1">
        <v>790.38340000000005</v>
      </c>
      <c r="G63" s="1">
        <v>14934.787</v>
      </c>
      <c r="H63" s="1">
        <v>17413.43</v>
      </c>
      <c r="I63" s="1">
        <v>1559.5513000000001</v>
      </c>
    </row>
    <row r="64" spans="1:9" x14ac:dyDescent="0.25">
      <c r="A64" s="1" t="s">
        <v>9</v>
      </c>
      <c r="B64" s="1" t="s">
        <v>7</v>
      </c>
      <c r="C64" s="1">
        <v>2700.9760000000001</v>
      </c>
      <c r="D64" s="1">
        <v>1.394907E-6</v>
      </c>
      <c r="E64" s="1">
        <v>195.10720000000001</v>
      </c>
      <c r="F64" s="1">
        <v>116.4439</v>
      </c>
      <c r="G64" s="1">
        <v>8538.36</v>
      </c>
      <c r="H64" s="1">
        <v>12998.5</v>
      </c>
      <c r="I64" s="1">
        <v>590.96040000000005</v>
      </c>
    </row>
    <row r="65" spans="1:9" x14ac:dyDescent="0.25">
      <c r="A65" s="1" t="s">
        <v>10</v>
      </c>
      <c r="B65" s="1" t="s">
        <v>7</v>
      </c>
      <c r="C65" s="1">
        <v>1439030.6969999999</v>
      </c>
      <c r="D65" s="1">
        <v>1.3212482100000001E-4</v>
      </c>
      <c r="E65" s="1">
        <v>32091.488499999999</v>
      </c>
      <c r="F65" s="1">
        <v>7074.3211000000001</v>
      </c>
      <c r="G65" s="1">
        <v>142884.446</v>
      </c>
      <c r="H65" s="1">
        <v>187155.51</v>
      </c>
      <c r="I65" s="1">
        <v>17055.3616</v>
      </c>
    </row>
    <row r="66" spans="1:9" x14ac:dyDescent="0.25">
      <c r="A66" s="1" t="s">
        <v>11</v>
      </c>
      <c r="B66" s="1" t="s">
        <v>7</v>
      </c>
      <c r="C66" s="1">
        <v>27563.455000000002</v>
      </c>
      <c r="D66" s="1">
        <v>1.0328638E-5</v>
      </c>
      <c r="E66" s="1">
        <v>364.60300000000001</v>
      </c>
      <c r="F66" s="1">
        <v>973.82529999999997</v>
      </c>
      <c r="G66" s="1">
        <v>23617.655999999999</v>
      </c>
      <c r="H66" s="1">
        <v>28448.02</v>
      </c>
      <c r="I66" s="1">
        <v>2234.6821</v>
      </c>
    </row>
    <row r="67" spans="1:9" x14ac:dyDescent="0.25">
      <c r="A67" s="1" t="s">
        <v>12</v>
      </c>
      <c r="B67" s="1" t="s">
        <v>7</v>
      </c>
      <c r="C67" s="1">
        <v>94792.195000000007</v>
      </c>
      <c r="D67" s="1">
        <v>1.7489326E-5</v>
      </c>
      <c r="E67" s="1">
        <v>1771.0785000000001</v>
      </c>
      <c r="F67" s="1">
        <v>138.05950000000001</v>
      </c>
      <c r="G67" s="1">
        <v>1556.693</v>
      </c>
      <c r="H67" s="1">
        <v>14337.8</v>
      </c>
      <c r="I67" s="1">
        <v>243.14930000000001</v>
      </c>
    </row>
    <row r="68" spans="1:9" x14ac:dyDescent="0.25">
      <c r="A68" s="1" t="s">
        <v>2</v>
      </c>
      <c r="B68" s="1" t="s">
        <v>8</v>
      </c>
      <c r="C68" s="1">
        <v>15815.21</v>
      </c>
      <c r="D68" s="1">
        <v>1.02942622E-4</v>
      </c>
      <c r="E68" s="1">
        <v>9149.6321000000007</v>
      </c>
      <c r="F68" s="1">
        <v>182.50217000000001</v>
      </c>
      <c r="G68" s="1">
        <v>2467.84</v>
      </c>
      <c r="H68" s="1">
        <v>11623.512000000001</v>
      </c>
      <c r="I68" s="1">
        <v>1537.22901</v>
      </c>
    </row>
    <row r="69" spans="1:9" x14ac:dyDescent="0.25">
      <c r="A69" s="1" t="s">
        <v>3</v>
      </c>
      <c r="B69" s="1" t="s">
        <v>8</v>
      </c>
      <c r="C69" s="1">
        <v>218060.64</v>
      </c>
      <c r="D69" s="1">
        <v>7.3983030000000002E-5</v>
      </c>
      <c r="E69" s="1">
        <v>2141.1417999999999</v>
      </c>
      <c r="F69" s="1">
        <v>1133.9726499999999</v>
      </c>
      <c r="G69" s="1">
        <v>27224.133000000002</v>
      </c>
      <c r="H69" s="1">
        <v>72543.335999999996</v>
      </c>
      <c r="I69" s="1">
        <v>4963.0006400000002</v>
      </c>
    </row>
    <row r="70" spans="1:9" x14ac:dyDescent="0.25">
      <c r="A70" s="1" t="s">
        <v>4</v>
      </c>
      <c r="B70" s="1" t="s">
        <v>8</v>
      </c>
      <c r="C70" s="1">
        <v>88943.14</v>
      </c>
      <c r="D70" s="1">
        <v>2.8980506000000001E-5</v>
      </c>
      <c r="E70" s="1">
        <v>3613.7649000000001</v>
      </c>
      <c r="F70" s="1">
        <v>353.77632</v>
      </c>
      <c r="G70" s="1">
        <v>12965.584000000001</v>
      </c>
      <c r="H70" s="1">
        <v>19172.554</v>
      </c>
      <c r="I70" s="1">
        <v>6075.0273699999998</v>
      </c>
    </row>
    <row r="71" spans="1:9" x14ac:dyDescent="0.25">
      <c r="A71" s="1" t="s">
        <v>5</v>
      </c>
      <c r="B71" s="1" t="s">
        <v>8</v>
      </c>
      <c r="C71" s="1">
        <v>105199.45</v>
      </c>
      <c r="D71" s="1">
        <v>2.4875313000000001E-5</v>
      </c>
      <c r="E71" s="1">
        <v>3627.2082</v>
      </c>
      <c r="F71" s="1">
        <v>447.91410000000002</v>
      </c>
      <c r="G71" s="1">
        <v>11848.255999999999</v>
      </c>
      <c r="H71" s="1">
        <v>23689.981</v>
      </c>
      <c r="I71" s="1">
        <v>492.59348</v>
      </c>
    </row>
    <row r="72" spans="1:9" x14ac:dyDescent="0.25">
      <c r="A72" s="1" t="s">
        <v>6</v>
      </c>
      <c r="B72" s="1" t="s">
        <v>8</v>
      </c>
      <c r="C72" s="1">
        <v>14734.81</v>
      </c>
      <c r="D72" s="1">
        <v>8.8873030000000003E-6</v>
      </c>
      <c r="E72" s="1">
        <v>629.58169999999996</v>
      </c>
      <c r="F72" s="1">
        <v>51.004040000000003</v>
      </c>
      <c r="G72" s="1">
        <v>454.44499999999999</v>
      </c>
      <c r="H72" s="1">
        <v>1231.6969999999999</v>
      </c>
      <c r="I72" s="1">
        <v>60.281080000000003</v>
      </c>
    </row>
    <row r="73" spans="1:9" x14ac:dyDescent="0.25">
      <c r="A73" s="1" t="s">
        <v>7</v>
      </c>
      <c r="B73" s="1" t="s">
        <v>8</v>
      </c>
      <c r="C73" s="1">
        <v>210171.69</v>
      </c>
      <c r="D73" s="1">
        <v>7.8643118000000002E-5</v>
      </c>
      <c r="E73" s="1">
        <v>4592.6154999999999</v>
      </c>
      <c r="F73" s="1">
        <v>346.13508999999999</v>
      </c>
      <c r="G73" s="1">
        <v>3285.299</v>
      </c>
      <c r="H73" s="1">
        <v>15708.15</v>
      </c>
      <c r="I73" s="1">
        <v>461.50812999999999</v>
      </c>
    </row>
    <row r="74" spans="1:9" x14ac:dyDescent="0.25">
      <c r="A74" s="1" t="s">
        <v>8</v>
      </c>
      <c r="B74" s="1" t="s">
        <v>8</v>
      </c>
      <c r="C74" s="1">
        <v>36746.06</v>
      </c>
      <c r="D74" s="1">
        <v>2.3067340000000001E-5</v>
      </c>
      <c r="E74" s="1">
        <v>10355.3819</v>
      </c>
      <c r="F74" s="1">
        <v>1002.0473</v>
      </c>
      <c r="G74" s="1">
        <v>13112.87</v>
      </c>
      <c r="H74" s="1">
        <v>60680.294000000002</v>
      </c>
      <c r="I74" s="1">
        <v>2088.1626900000001</v>
      </c>
    </row>
    <row r="75" spans="1:9" x14ac:dyDescent="0.25">
      <c r="A75" s="1" t="s">
        <v>9</v>
      </c>
      <c r="B75" s="1" t="s">
        <v>8</v>
      </c>
      <c r="C75" s="1">
        <v>44452.51</v>
      </c>
      <c r="D75" s="1">
        <v>1.4622439000000001E-5</v>
      </c>
      <c r="E75" s="1">
        <v>1330.3253999999999</v>
      </c>
      <c r="F75" s="1">
        <v>1305.90778</v>
      </c>
      <c r="G75" s="1">
        <v>101825.745</v>
      </c>
      <c r="H75" s="1">
        <v>29866.785</v>
      </c>
      <c r="I75" s="1">
        <v>638.67443000000003</v>
      </c>
    </row>
    <row r="76" spans="1:9" x14ac:dyDescent="0.25">
      <c r="A76" s="1" t="s">
        <v>10</v>
      </c>
      <c r="B76" s="1" t="s">
        <v>8</v>
      </c>
      <c r="C76" s="1">
        <v>134133</v>
      </c>
      <c r="D76" s="1">
        <v>8.2508659999999995E-6</v>
      </c>
      <c r="E76" s="1">
        <v>3239.6104</v>
      </c>
      <c r="F76" s="1">
        <v>503.46677</v>
      </c>
      <c r="G76" s="1">
        <v>11404.303</v>
      </c>
      <c r="H76" s="1">
        <v>39547.135000000002</v>
      </c>
      <c r="I76" s="1">
        <v>1602.57152</v>
      </c>
    </row>
    <row r="77" spans="1:9" x14ac:dyDescent="0.25">
      <c r="A77" s="1" t="s">
        <v>11</v>
      </c>
      <c r="B77" s="1" t="s">
        <v>8</v>
      </c>
      <c r="C77" s="1">
        <v>80552.09</v>
      </c>
      <c r="D77" s="1">
        <v>5.8154773E-5</v>
      </c>
      <c r="E77" s="1">
        <v>2030.4014</v>
      </c>
      <c r="F77" s="1">
        <v>5820.6995200000001</v>
      </c>
      <c r="G77" s="1">
        <v>154772.492</v>
      </c>
      <c r="H77" s="1">
        <v>44569.872000000003</v>
      </c>
      <c r="I77" s="1">
        <v>1162.14752</v>
      </c>
    </row>
    <row r="78" spans="1:9" x14ac:dyDescent="0.25">
      <c r="A78" s="1" t="s">
        <v>12</v>
      </c>
      <c r="B78" s="1" t="s">
        <v>8</v>
      </c>
      <c r="C78" s="1">
        <v>46945.71</v>
      </c>
      <c r="D78" s="1">
        <v>4.8374210000000003E-5</v>
      </c>
      <c r="E78" s="1">
        <v>4333.9277000000002</v>
      </c>
      <c r="F78" s="1">
        <v>355.64999</v>
      </c>
      <c r="G78" s="1">
        <v>9049.9459999999999</v>
      </c>
      <c r="H78" s="1">
        <v>22486.934000000001</v>
      </c>
      <c r="I78" s="1">
        <v>190.45374000000001</v>
      </c>
    </row>
    <row r="79" spans="1:9" x14ac:dyDescent="0.25">
      <c r="A79" s="1" t="s">
        <v>2</v>
      </c>
      <c r="B79" s="1" t="s">
        <v>9</v>
      </c>
      <c r="C79" s="1">
        <v>11637.99</v>
      </c>
      <c r="D79" s="1">
        <v>5.9102019000000003E-5</v>
      </c>
      <c r="E79" s="1">
        <v>4308.9041999999999</v>
      </c>
      <c r="F79" s="1">
        <v>186.94441</v>
      </c>
      <c r="G79" s="1">
        <v>2443.9252999999999</v>
      </c>
      <c r="H79" s="1">
        <v>8300.92</v>
      </c>
      <c r="I79" s="1">
        <v>1125.94705</v>
      </c>
    </row>
    <row r="80" spans="1:9" x14ac:dyDescent="0.25">
      <c r="A80" s="1" t="s">
        <v>3</v>
      </c>
      <c r="B80" s="1" t="s">
        <v>9</v>
      </c>
      <c r="C80" s="1">
        <v>241291.59</v>
      </c>
      <c r="D80" s="1">
        <v>9.8584635999999996E-5</v>
      </c>
      <c r="E80" s="1">
        <v>2506.2150999999999</v>
      </c>
      <c r="F80" s="1">
        <v>1244.0038099999999</v>
      </c>
      <c r="G80" s="1">
        <v>32002.8986</v>
      </c>
      <c r="H80" s="1">
        <v>70086.928</v>
      </c>
      <c r="I80" s="1">
        <v>5563.2580500000004</v>
      </c>
    </row>
    <row r="81" spans="1:9" x14ac:dyDescent="0.25">
      <c r="A81" s="1" t="s">
        <v>4</v>
      </c>
      <c r="B81" s="1" t="s">
        <v>9</v>
      </c>
      <c r="C81" s="1">
        <v>160152.53</v>
      </c>
      <c r="D81" s="1">
        <v>9.6088550000000003E-5</v>
      </c>
      <c r="E81" s="1">
        <v>9101.3014999999996</v>
      </c>
      <c r="F81" s="1">
        <v>640.70181000000002</v>
      </c>
      <c r="G81" s="1">
        <v>19603.232</v>
      </c>
      <c r="H81" s="1">
        <v>31711.87</v>
      </c>
      <c r="I81" s="1">
        <v>7159.6654699999999</v>
      </c>
    </row>
    <row r="82" spans="1:9" x14ac:dyDescent="0.25">
      <c r="A82" s="1" t="s">
        <v>5</v>
      </c>
      <c r="B82" s="1" t="s">
        <v>9</v>
      </c>
      <c r="C82" s="1">
        <v>585887.93000000005</v>
      </c>
      <c r="D82" s="1">
        <v>1.0514889500000001E-4</v>
      </c>
      <c r="E82" s="1">
        <v>18444.439600000002</v>
      </c>
      <c r="F82" s="1">
        <v>3221.2071099999998</v>
      </c>
      <c r="G82" s="1">
        <v>76981.287700000001</v>
      </c>
      <c r="H82" s="1">
        <v>67105.455000000002</v>
      </c>
      <c r="I82" s="1">
        <v>1516.5561499999999</v>
      </c>
    </row>
    <row r="83" spans="1:9" x14ac:dyDescent="0.25">
      <c r="A83" s="1" t="s">
        <v>6</v>
      </c>
      <c r="B83" s="1" t="s">
        <v>9</v>
      </c>
      <c r="C83" s="1">
        <v>41827.4</v>
      </c>
      <c r="D83" s="1">
        <v>6.0471610000000003E-6</v>
      </c>
      <c r="E83" s="1">
        <v>582.61590000000001</v>
      </c>
      <c r="F83" s="1">
        <v>56.231580000000001</v>
      </c>
      <c r="G83" s="1">
        <v>179.53030000000001</v>
      </c>
      <c r="H83" s="1">
        <v>1155.1220000000001</v>
      </c>
      <c r="I83" s="1">
        <v>45.074959999999997</v>
      </c>
    </row>
    <row r="84" spans="1:9" x14ac:dyDescent="0.25">
      <c r="A84" s="1" t="s">
        <v>7</v>
      </c>
      <c r="B84" s="1" t="s">
        <v>9</v>
      </c>
      <c r="C84" s="1">
        <v>691317.15</v>
      </c>
      <c r="D84" s="1">
        <v>3.6725197800000002E-4</v>
      </c>
      <c r="E84" s="1">
        <v>12677.233</v>
      </c>
      <c r="F84" s="1">
        <v>1680.8178399999999</v>
      </c>
      <c r="G84" s="1">
        <v>25788.7369</v>
      </c>
      <c r="H84" s="1">
        <v>29454.97</v>
      </c>
      <c r="I84" s="1">
        <v>702.38232000000005</v>
      </c>
    </row>
    <row r="85" spans="1:9" x14ac:dyDescent="0.25">
      <c r="A85" s="1" t="s">
        <v>8</v>
      </c>
      <c r="B85" s="1" t="s">
        <v>9</v>
      </c>
      <c r="C85" s="1">
        <v>51892.14</v>
      </c>
      <c r="D85" s="1">
        <v>2.0268931999999999E-5</v>
      </c>
      <c r="E85" s="1">
        <v>4997.3005000000003</v>
      </c>
      <c r="F85" s="1">
        <v>1531.03991</v>
      </c>
      <c r="G85" s="1">
        <v>25879.1378</v>
      </c>
      <c r="H85" s="1">
        <v>54538.582000000002</v>
      </c>
      <c r="I85" s="1">
        <v>1925.6179400000001</v>
      </c>
    </row>
    <row r="86" spans="1:9" x14ac:dyDescent="0.25">
      <c r="A86" s="1" t="s">
        <v>9</v>
      </c>
      <c r="B86" s="1" t="s">
        <v>9</v>
      </c>
      <c r="C86" s="1">
        <v>70312.479999999996</v>
      </c>
      <c r="D86" s="1">
        <v>2.9654699999999999E-5</v>
      </c>
      <c r="E86" s="1">
        <v>2861.5807</v>
      </c>
      <c r="F86" s="1">
        <v>3937.7534799999999</v>
      </c>
      <c r="G86" s="1">
        <v>276756.71919999999</v>
      </c>
      <c r="H86" s="1">
        <v>45862.491000000002</v>
      </c>
      <c r="I86" s="1">
        <v>936.86587999999995</v>
      </c>
    </row>
    <row r="87" spans="1:9" x14ac:dyDescent="0.25">
      <c r="A87" s="1" t="s">
        <v>10</v>
      </c>
      <c r="B87" s="1" t="s">
        <v>9</v>
      </c>
      <c r="C87" s="1">
        <v>394470.47</v>
      </c>
      <c r="D87" s="1">
        <v>3.0062297E-5</v>
      </c>
      <c r="E87" s="1">
        <v>7410.3059000000003</v>
      </c>
      <c r="F87" s="1">
        <v>1280.6844900000001</v>
      </c>
      <c r="G87" s="1">
        <v>33027.497000000003</v>
      </c>
      <c r="H87" s="1">
        <v>14253.403</v>
      </c>
      <c r="I87" s="1">
        <v>862.85544000000004</v>
      </c>
    </row>
    <row r="88" spans="1:9" x14ac:dyDescent="0.25">
      <c r="A88" s="1" t="s">
        <v>11</v>
      </c>
      <c r="B88" s="1" t="s">
        <v>9</v>
      </c>
      <c r="C88" s="1">
        <v>127338.81</v>
      </c>
      <c r="D88" s="1">
        <v>1.12169909E-4</v>
      </c>
      <c r="E88" s="1">
        <v>3619.0441000000001</v>
      </c>
      <c r="F88" s="1">
        <v>10829.43043</v>
      </c>
      <c r="G88" s="1">
        <v>293712.75760000001</v>
      </c>
      <c r="H88" s="1">
        <v>32587.949000000001</v>
      </c>
      <c r="I88" s="1">
        <v>1112.1116</v>
      </c>
    </row>
    <row r="89" spans="1:9" x14ac:dyDescent="0.25">
      <c r="A89" s="1" t="s">
        <v>12</v>
      </c>
      <c r="B89" s="1" t="s">
        <v>9</v>
      </c>
      <c r="C89" s="1">
        <v>64039.28</v>
      </c>
      <c r="D89" s="1">
        <v>5.0298070999999999E-5</v>
      </c>
      <c r="E89" s="1">
        <v>4228.7582000000002</v>
      </c>
      <c r="F89" s="1">
        <v>277.51173</v>
      </c>
      <c r="G89" s="1">
        <v>7178.6486999999997</v>
      </c>
      <c r="H89" s="1">
        <v>16793.612000000001</v>
      </c>
      <c r="I89" s="1">
        <v>79.685890000000001</v>
      </c>
    </row>
    <row r="90" spans="1:9" x14ac:dyDescent="0.25">
      <c r="A90" s="1" t="s">
        <v>2</v>
      </c>
      <c r="B90" s="1" t="s">
        <v>10</v>
      </c>
      <c r="C90" s="1">
        <v>52346.375999999997</v>
      </c>
      <c r="D90" s="1">
        <v>1.7546424400000001E-4</v>
      </c>
      <c r="E90" s="1">
        <v>13006.2505</v>
      </c>
      <c r="F90" s="1">
        <v>884.46720000000005</v>
      </c>
      <c r="G90" s="1">
        <v>7924.39</v>
      </c>
      <c r="H90" s="1">
        <v>80322.66</v>
      </c>
      <c r="I90" s="1">
        <v>15982.2649</v>
      </c>
    </row>
    <row r="91" spans="1:9" x14ac:dyDescent="0.25">
      <c r="A91" s="1" t="s">
        <v>3</v>
      </c>
      <c r="B91" s="1" t="s">
        <v>10</v>
      </c>
      <c r="C91" s="1">
        <v>1853076.659</v>
      </c>
      <c r="D91" s="1">
        <v>4.4928532500000001E-4</v>
      </c>
      <c r="E91" s="1">
        <v>18872.6623</v>
      </c>
      <c r="F91" s="1">
        <v>9642.4153000000006</v>
      </c>
      <c r="G91" s="1">
        <v>226469.14</v>
      </c>
      <c r="H91" s="1">
        <v>562493.78</v>
      </c>
      <c r="I91" s="1">
        <v>48457.768700000001</v>
      </c>
    </row>
    <row r="92" spans="1:9" x14ac:dyDescent="0.25">
      <c r="A92" s="1" t="s">
        <v>4</v>
      </c>
      <c r="B92" s="1" t="s">
        <v>10</v>
      </c>
      <c r="C92" s="1">
        <v>122541.557</v>
      </c>
      <c r="D92" s="1">
        <v>7.3603452000000003E-5</v>
      </c>
      <c r="E92" s="1">
        <v>7591.8085000000001</v>
      </c>
      <c r="F92" s="1">
        <v>1345.4289000000001</v>
      </c>
      <c r="G92" s="1">
        <v>39526.853999999999</v>
      </c>
      <c r="H92" s="1">
        <v>100024.64</v>
      </c>
      <c r="I92" s="1">
        <v>84146.320500000002</v>
      </c>
    </row>
    <row r="93" spans="1:9" x14ac:dyDescent="0.25">
      <c r="A93" s="1" t="s">
        <v>5</v>
      </c>
      <c r="B93" s="1" t="s">
        <v>10</v>
      </c>
      <c r="C93" s="1">
        <v>78391.917000000001</v>
      </c>
      <c r="D93" s="1">
        <v>3.4350042000000003E-5</v>
      </c>
      <c r="E93" s="1">
        <v>6086.3194999999996</v>
      </c>
      <c r="F93" s="1">
        <v>856.72329999999999</v>
      </c>
      <c r="G93" s="1">
        <v>22769.386999999999</v>
      </c>
      <c r="H93" s="1">
        <v>79275.13</v>
      </c>
      <c r="I93" s="1">
        <v>1238.0706</v>
      </c>
    </row>
    <row r="94" spans="1:9" x14ac:dyDescent="0.25">
      <c r="A94" s="1" t="s">
        <v>6</v>
      </c>
      <c r="B94" s="1" t="s">
        <v>10</v>
      </c>
      <c r="C94" s="1">
        <v>42697.87</v>
      </c>
      <c r="D94" s="1">
        <v>2.6687046E-5</v>
      </c>
      <c r="E94" s="1">
        <v>2399.0113000000001</v>
      </c>
      <c r="F94" s="1">
        <v>341.70870000000002</v>
      </c>
      <c r="G94" s="1">
        <v>1767.4970000000001</v>
      </c>
      <c r="H94" s="1">
        <v>11932.92</v>
      </c>
      <c r="I94" s="1">
        <v>1059.8435999999999</v>
      </c>
    </row>
    <row r="95" spans="1:9" x14ac:dyDescent="0.25">
      <c r="A95" s="1" t="s">
        <v>7</v>
      </c>
      <c r="B95" s="1" t="s">
        <v>10</v>
      </c>
      <c r="C95" s="1">
        <v>1952683.649</v>
      </c>
      <c r="D95" s="1">
        <v>1.044814491E-3</v>
      </c>
      <c r="E95" s="1">
        <v>35212.304900000003</v>
      </c>
      <c r="F95" s="1">
        <v>6201.9395999999997</v>
      </c>
      <c r="G95" s="1">
        <v>107441.014</v>
      </c>
      <c r="H95" s="1">
        <v>239313.9</v>
      </c>
      <c r="I95" s="1">
        <v>8502.7612000000008</v>
      </c>
    </row>
    <row r="96" spans="1:9" x14ac:dyDescent="0.25">
      <c r="A96" s="1" t="s">
        <v>8</v>
      </c>
      <c r="B96" s="1" t="s">
        <v>10</v>
      </c>
      <c r="C96" s="1">
        <v>7616.6109999999999</v>
      </c>
      <c r="D96" s="1">
        <v>4.209542E-6</v>
      </c>
      <c r="E96" s="1">
        <v>1015.4087</v>
      </c>
      <c r="F96" s="1">
        <v>157.43049999999999</v>
      </c>
      <c r="G96" s="1">
        <v>4983.3119999999999</v>
      </c>
      <c r="H96" s="1">
        <v>50923.24</v>
      </c>
      <c r="I96" s="1">
        <v>3081.2926000000002</v>
      </c>
    </row>
    <row r="97" spans="1:9" x14ac:dyDescent="0.25">
      <c r="A97" s="1" t="s">
        <v>9</v>
      </c>
      <c r="B97" s="1" t="s">
        <v>10</v>
      </c>
      <c r="C97" s="1">
        <v>12802.341</v>
      </c>
      <c r="D97" s="1">
        <v>4.5330319999999997E-6</v>
      </c>
      <c r="E97" s="1">
        <v>412.55759999999998</v>
      </c>
      <c r="F97" s="1">
        <v>536.08669999999995</v>
      </c>
      <c r="G97" s="1">
        <v>39240.584999999999</v>
      </c>
      <c r="H97" s="1">
        <v>28099.62</v>
      </c>
      <c r="I97" s="1">
        <v>696.02639999999997</v>
      </c>
    </row>
    <row r="98" spans="1:9" x14ac:dyDescent="0.25">
      <c r="A98" s="1" t="s">
        <v>10</v>
      </c>
      <c r="B98" s="1" t="s">
        <v>10</v>
      </c>
      <c r="C98" s="1">
        <v>1326307.1910000001</v>
      </c>
      <c r="D98" s="1">
        <v>6.4277767000000006E-5</v>
      </c>
      <c r="E98" s="1">
        <v>138330.2757</v>
      </c>
      <c r="F98" s="1">
        <v>1949.8400999999999</v>
      </c>
      <c r="G98" s="1">
        <v>34706.061999999998</v>
      </c>
      <c r="H98" s="1">
        <v>263527.27</v>
      </c>
      <c r="I98" s="1">
        <v>17147.783599999999</v>
      </c>
    </row>
    <row r="99" spans="1:9" x14ac:dyDescent="0.25">
      <c r="A99" s="1" t="s">
        <v>11</v>
      </c>
      <c r="B99" s="1" t="s">
        <v>10</v>
      </c>
      <c r="C99" s="1">
        <v>151317.63200000001</v>
      </c>
      <c r="D99" s="1">
        <v>7.0395787000000006E-5</v>
      </c>
      <c r="E99" s="1">
        <v>2658.2386000000001</v>
      </c>
      <c r="F99" s="1">
        <v>7007.9080000000004</v>
      </c>
      <c r="G99" s="1">
        <v>171624.29199999999</v>
      </c>
      <c r="H99" s="1">
        <v>143902.48000000001</v>
      </c>
      <c r="I99" s="1">
        <v>8871.8330999999998</v>
      </c>
    </row>
    <row r="100" spans="1:9" x14ac:dyDescent="0.25">
      <c r="A100" s="1" t="s">
        <v>12</v>
      </c>
      <c r="B100" s="1" t="s">
        <v>10</v>
      </c>
      <c r="C100" s="1">
        <v>114046.197</v>
      </c>
      <c r="D100" s="1">
        <v>6.8170965999999995E-5</v>
      </c>
      <c r="E100" s="1">
        <v>4555.4732999999997</v>
      </c>
      <c r="F100" s="1">
        <v>576.73879999999997</v>
      </c>
      <c r="G100" s="1">
        <v>9474.8089999999993</v>
      </c>
      <c r="H100" s="1">
        <v>44345.68</v>
      </c>
      <c r="I100" s="1">
        <v>566.30719999999997</v>
      </c>
    </row>
    <row r="101" spans="1:9" x14ac:dyDescent="0.25">
      <c r="A101" s="1" t="s">
        <v>2</v>
      </c>
      <c r="B101" s="1" t="s">
        <v>11</v>
      </c>
      <c r="C101" s="1">
        <v>11741.699000000001</v>
      </c>
      <c r="D101" s="1">
        <v>6.3465723999999997E-5</v>
      </c>
      <c r="E101" s="1">
        <v>5813.3712999999998</v>
      </c>
      <c r="F101" s="1">
        <v>172.33243999999999</v>
      </c>
      <c r="G101" s="1">
        <v>2007.0816</v>
      </c>
      <c r="H101" s="1">
        <v>34771.428</v>
      </c>
      <c r="I101" s="1">
        <v>5819.3767200000002</v>
      </c>
    </row>
    <row r="102" spans="1:9" x14ac:dyDescent="0.25">
      <c r="A102" s="1" t="s">
        <v>3</v>
      </c>
      <c r="B102" s="1" t="s">
        <v>11</v>
      </c>
      <c r="C102" s="1">
        <v>465753.36499999999</v>
      </c>
      <c r="D102" s="1">
        <v>2.69967141E-4</v>
      </c>
      <c r="E102" s="1">
        <v>6365.4260999999997</v>
      </c>
      <c r="F102" s="1">
        <v>2942.27466</v>
      </c>
      <c r="G102" s="1">
        <v>67601.290399999998</v>
      </c>
      <c r="H102" s="1">
        <v>227283.72899999999</v>
      </c>
      <c r="I102" s="1">
        <v>17071.069289999999</v>
      </c>
    </row>
    <row r="103" spans="1:9" x14ac:dyDescent="0.25">
      <c r="A103" s="1" t="s">
        <v>4</v>
      </c>
      <c r="B103" s="1" t="s">
        <v>11</v>
      </c>
      <c r="C103" s="1">
        <v>19240.97</v>
      </c>
      <c r="D103" s="1">
        <v>1.0535598000000001E-5</v>
      </c>
      <c r="E103" s="1">
        <v>1518.6229000000001</v>
      </c>
      <c r="F103" s="1">
        <v>155.49845999999999</v>
      </c>
      <c r="G103" s="1">
        <v>2655.1296000000002</v>
      </c>
      <c r="H103" s="1">
        <v>19269.175999999999</v>
      </c>
      <c r="I103" s="1">
        <v>5776.1606000000002</v>
      </c>
    </row>
    <row r="104" spans="1:9" x14ac:dyDescent="0.25">
      <c r="A104" s="1" t="s">
        <v>5</v>
      </c>
      <c r="B104" s="1" t="s">
        <v>11</v>
      </c>
      <c r="C104" s="1">
        <v>132171.114</v>
      </c>
      <c r="D104" s="1">
        <v>5.4924839E-5</v>
      </c>
      <c r="E104" s="1">
        <v>7998.0852000000004</v>
      </c>
      <c r="F104" s="1">
        <v>1974.6477600000001</v>
      </c>
      <c r="G104" s="1">
        <v>56491.610999999997</v>
      </c>
      <c r="H104" s="1">
        <v>48765.983</v>
      </c>
      <c r="I104" s="1">
        <v>1191.0579399999999</v>
      </c>
    </row>
    <row r="105" spans="1:9" x14ac:dyDescent="0.25">
      <c r="A105" s="1" t="s">
        <v>6</v>
      </c>
      <c r="B105" s="1" t="s">
        <v>11</v>
      </c>
      <c r="C105" s="1">
        <v>7698.8459999999995</v>
      </c>
      <c r="D105" s="1">
        <v>5.2023400000000004E-6</v>
      </c>
      <c r="E105" s="1">
        <v>233.0924</v>
      </c>
      <c r="F105" s="1">
        <v>25.31466</v>
      </c>
      <c r="G105" s="1">
        <v>300.22219999999999</v>
      </c>
      <c r="H105" s="1">
        <v>1366.2729999999999</v>
      </c>
      <c r="I105" s="1">
        <v>51.74089</v>
      </c>
    </row>
    <row r="106" spans="1:9" x14ac:dyDescent="0.25">
      <c r="A106" s="1" t="s">
        <v>7</v>
      </c>
      <c r="B106" s="1" t="s">
        <v>11</v>
      </c>
      <c r="C106" s="1">
        <v>240715.163</v>
      </c>
      <c r="D106" s="1">
        <v>1.3260475099999999E-4</v>
      </c>
      <c r="E106" s="1">
        <v>7730.0594000000001</v>
      </c>
      <c r="F106" s="1">
        <v>452.36415</v>
      </c>
      <c r="G106" s="1">
        <v>7237.4773999999998</v>
      </c>
      <c r="H106" s="1">
        <v>22956.891</v>
      </c>
      <c r="I106" s="1">
        <v>424.23775999999998</v>
      </c>
    </row>
    <row r="107" spans="1:9" x14ac:dyDescent="0.25">
      <c r="A107" s="1" t="s">
        <v>8</v>
      </c>
      <c r="B107" s="1" t="s">
        <v>11</v>
      </c>
      <c r="C107" s="1">
        <v>28235.08</v>
      </c>
      <c r="D107" s="1">
        <v>9.6635850000000008E-6</v>
      </c>
      <c r="E107" s="1">
        <v>2715.6226000000001</v>
      </c>
      <c r="F107" s="1">
        <v>535.21954000000005</v>
      </c>
      <c r="G107" s="1">
        <v>6785.9177</v>
      </c>
      <c r="H107" s="1">
        <v>63016.6</v>
      </c>
      <c r="I107" s="1">
        <v>3652.7060900000001</v>
      </c>
    </row>
    <row r="108" spans="1:9" x14ac:dyDescent="0.25">
      <c r="A108" s="1" t="s">
        <v>9</v>
      </c>
      <c r="B108" s="1" t="s">
        <v>11</v>
      </c>
      <c r="C108" s="1">
        <v>42215.368000000002</v>
      </c>
      <c r="D108" s="1">
        <v>6.6855419999999997E-6</v>
      </c>
      <c r="E108" s="1">
        <v>1041.345</v>
      </c>
      <c r="F108" s="1">
        <v>1333.45776</v>
      </c>
      <c r="G108" s="1">
        <v>90771.168399999995</v>
      </c>
      <c r="H108" s="1">
        <v>57930.574999999997</v>
      </c>
      <c r="I108" s="1">
        <v>1811.17868</v>
      </c>
    </row>
    <row r="109" spans="1:9" x14ac:dyDescent="0.25">
      <c r="A109" s="1" t="s">
        <v>10</v>
      </c>
      <c r="B109" s="1" t="s">
        <v>11</v>
      </c>
      <c r="C109" s="1">
        <v>289870.18699999998</v>
      </c>
      <c r="D109" s="1">
        <v>2.7713525E-5</v>
      </c>
      <c r="E109" s="1">
        <v>8713.348</v>
      </c>
      <c r="F109" s="1">
        <v>1049.9931899999999</v>
      </c>
      <c r="G109" s="1">
        <v>51660.317199999998</v>
      </c>
      <c r="H109" s="1">
        <v>42137.286999999997</v>
      </c>
      <c r="I109" s="1">
        <v>2741.5060199999998</v>
      </c>
    </row>
    <row r="110" spans="1:9" x14ac:dyDescent="0.25">
      <c r="A110" s="1" t="s">
        <v>11</v>
      </c>
      <c r="B110" s="1" t="s">
        <v>11</v>
      </c>
      <c r="C110" s="1">
        <v>127029.872</v>
      </c>
      <c r="D110" s="1">
        <v>7.6908396000000006E-5</v>
      </c>
      <c r="E110" s="1">
        <v>3368.3427999999999</v>
      </c>
      <c r="F110" s="1">
        <v>5867.2002499999999</v>
      </c>
      <c r="G110" s="1">
        <v>133444.72529999999</v>
      </c>
      <c r="H110" s="1">
        <v>64091.656999999999</v>
      </c>
      <c r="I110" s="1">
        <v>1790.7036800000001</v>
      </c>
    </row>
    <row r="111" spans="1:9" x14ac:dyDescent="0.25">
      <c r="A111" s="1" t="s">
        <v>12</v>
      </c>
      <c r="B111" s="1" t="s">
        <v>11</v>
      </c>
      <c r="C111" s="1">
        <v>172973.39199999999</v>
      </c>
      <c r="D111" s="1">
        <v>7.4270004999999999E-5</v>
      </c>
      <c r="E111" s="1">
        <v>6025.7539999999999</v>
      </c>
      <c r="F111" s="1">
        <v>870.99955999999997</v>
      </c>
      <c r="G111" s="1">
        <v>14657.281499999999</v>
      </c>
      <c r="H111" s="1">
        <v>63780.482000000004</v>
      </c>
      <c r="I111" s="1">
        <v>499.07968</v>
      </c>
    </row>
    <row r="112" spans="1:9" x14ac:dyDescent="0.25">
      <c r="A112" s="1" t="s">
        <v>2</v>
      </c>
      <c r="B112" s="1" t="s">
        <v>12</v>
      </c>
      <c r="C112" s="1">
        <v>5317.8670000000002</v>
      </c>
      <c r="D112" s="1">
        <v>2.3413109999999999E-5</v>
      </c>
      <c r="E112" s="1">
        <v>1603.9786999999999</v>
      </c>
      <c r="F112" s="1">
        <v>102.14985</v>
      </c>
      <c r="G112" s="1">
        <v>1628.8052</v>
      </c>
      <c r="H112" s="1">
        <v>7752.8014999999996</v>
      </c>
      <c r="I112" s="1">
        <v>1362.9358099999999</v>
      </c>
    </row>
    <row r="113" spans="1:9" x14ac:dyDescent="0.25">
      <c r="A113" s="1" t="s">
        <v>3</v>
      </c>
      <c r="B113" s="1" t="s">
        <v>12</v>
      </c>
      <c r="C113" s="1">
        <v>318609.45600000001</v>
      </c>
      <c r="D113" s="1">
        <v>1.47864657E-4</v>
      </c>
      <c r="E113" s="1">
        <v>4135.5977999999996</v>
      </c>
      <c r="F113" s="1">
        <v>2561.8018000000002</v>
      </c>
      <c r="G113" s="1">
        <v>41330.7719</v>
      </c>
      <c r="H113" s="1">
        <v>85900.236999999994</v>
      </c>
      <c r="I113" s="1">
        <v>7140.5925299999999</v>
      </c>
    </row>
    <row r="114" spans="1:9" x14ac:dyDescent="0.25">
      <c r="A114" s="1" t="s">
        <v>4</v>
      </c>
      <c r="B114" s="1" t="s">
        <v>12</v>
      </c>
      <c r="C114" s="1">
        <v>78443.668000000005</v>
      </c>
      <c r="D114" s="1">
        <v>3.9299072000000001E-5</v>
      </c>
      <c r="E114" s="1">
        <v>3951.8982000000001</v>
      </c>
      <c r="F114" s="1">
        <v>343.31051000000002</v>
      </c>
      <c r="G114" s="1">
        <v>11330.199699999999</v>
      </c>
      <c r="H114" s="1">
        <v>19650.377100000002</v>
      </c>
      <c r="I114" s="1">
        <v>4944.6796299999996</v>
      </c>
    </row>
    <row r="115" spans="1:9" x14ac:dyDescent="0.25">
      <c r="A115" s="1" t="s">
        <v>5</v>
      </c>
      <c r="B115" s="1" t="s">
        <v>12</v>
      </c>
      <c r="C115" s="1">
        <v>94650.687999999995</v>
      </c>
      <c r="D115" s="1">
        <v>3.3078467999999998E-5</v>
      </c>
      <c r="E115" s="1">
        <v>6231.0016999999998</v>
      </c>
      <c r="F115" s="1">
        <v>481.58215000000001</v>
      </c>
      <c r="G115" s="1">
        <v>9966.9529999999995</v>
      </c>
      <c r="H115" s="1">
        <v>25064.709200000001</v>
      </c>
      <c r="I115" s="1">
        <v>500.28311000000002</v>
      </c>
    </row>
    <row r="116" spans="1:9" x14ac:dyDescent="0.25">
      <c r="A116" s="1" t="s">
        <v>6</v>
      </c>
      <c r="B116" s="1" t="s">
        <v>12</v>
      </c>
      <c r="C116" s="1">
        <v>9271.0020000000004</v>
      </c>
      <c r="D116" s="1">
        <v>4.0851470000000003E-6</v>
      </c>
      <c r="E116" s="1">
        <v>155.49039999999999</v>
      </c>
      <c r="F116" s="1">
        <v>25.924669999999999</v>
      </c>
      <c r="G116" s="1">
        <v>144.91030000000001</v>
      </c>
      <c r="H116" s="1">
        <v>529.78369999999995</v>
      </c>
      <c r="I116" s="1">
        <v>38.726819999999996</v>
      </c>
    </row>
    <row r="117" spans="1:9" x14ac:dyDescent="0.25">
      <c r="A117" s="1" t="s">
        <v>7</v>
      </c>
      <c r="B117" s="1" t="s">
        <v>12</v>
      </c>
      <c r="C117" s="1">
        <v>114778.71799999999</v>
      </c>
      <c r="D117" s="1">
        <v>6.9996776999999997E-5</v>
      </c>
      <c r="E117" s="1">
        <v>4983.1121000000003</v>
      </c>
      <c r="F117" s="1">
        <v>511.22836000000001</v>
      </c>
      <c r="G117" s="1">
        <v>9521.5550000000003</v>
      </c>
      <c r="H117" s="1">
        <v>13971.902400000001</v>
      </c>
      <c r="I117" s="1">
        <v>234.28116</v>
      </c>
    </row>
    <row r="118" spans="1:9" x14ac:dyDescent="0.25">
      <c r="A118" s="1" t="s">
        <v>8</v>
      </c>
      <c r="B118" s="1" t="s">
        <v>12</v>
      </c>
      <c r="C118" s="1">
        <v>9516.5010000000002</v>
      </c>
      <c r="D118" s="1">
        <v>4.443957E-6</v>
      </c>
      <c r="E118" s="1">
        <v>1391.3807999999999</v>
      </c>
      <c r="F118" s="1">
        <v>229.57194999999999</v>
      </c>
      <c r="G118" s="1">
        <v>3382.9002</v>
      </c>
      <c r="H118" s="1">
        <v>27261.247200000002</v>
      </c>
      <c r="I118" s="1">
        <v>1354.34014</v>
      </c>
    </row>
    <row r="119" spans="1:9" x14ac:dyDescent="0.25">
      <c r="A119" s="1" t="s">
        <v>9</v>
      </c>
      <c r="B119" s="1" t="s">
        <v>12</v>
      </c>
      <c r="C119" s="1">
        <v>8008.5540000000001</v>
      </c>
      <c r="D119" s="1">
        <v>3.3888609999999998E-6</v>
      </c>
      <c r="E119" s="1">
        <v>410.94240000000002</v>
      </c>
      <c r="F119" s="1">
        <v>412.12522000000001</v>
      </c>
      <c r="G119" s="1">
        <v>29193.487499999999</v>
      </c>
      <c r="H119" s="1">
        <v>18427.7575</v>
      </c>
      <c r="I119" s="1">
        <v>645.24766</v>
      </c>
    </row>
    <row r="120" spans="1:9" x14ac:dyDescent="0.25">
      <c r="A120" s="1" t="s">
        <v>10</v>
      </c>
      <c r="B120" s="1" t="s">
        <v>12</v>
      </c>
      <c r="C120" s="1">
        <v>129983.164</v>
      </c>
      <c r="D120" s="1">
        <v>1.3298425E-5</v>
      </c>
      <c r="E120" s="1">
        <v>3137.4715000000001</v>
      </c>
      <c r="F120" s="1">
        <v>470.17538000000002</v>
      </c>
      <c r="G120" s="1">
        <v>7487.0063</v>
      </c>
      <c r="H120" s="1">
        <v>11443.539000000001</v>
      </c>
      <c r="I120" s="1">
        <v>907.53224</v>
      </c>
    </row>
    <row r="121" spans="1:9" x14ac:dyDescent="0.25">
      <c r="A121" s="1" t="s">
        <v>11</v>
      </c>
      <c r="B121" s="1" t="s">
        <v>12</v>
      </c>
      <c r="C121" s="1">
        <v>64986.521000000001</v>
      </c>
      <c r="D121" s="1">
        <v>4.8604842999999997E-5</v>
      </c>
      <c r="E121" s="1">
        <v>1664.3309999999999</v>
      </c>
      <c r="F121" s="1">
        <v>5807.48632</v>
      </c>
      <c r="G121" s="1">
        <v>147253.9362</v>
      </c>
      <c r="H121" s="1">
        <v>38044.024899999997</v>
      </c>
      <c r="I121" s="1">
        <v>2353.3188</v>
      </c>
    </row>
    <row r="122" spans="1:9" x14ac:dyDescent="0.25">
      <c r="A122" s="1" t="s">
        <v>12</v>
      </c>
      <c r="B122" s="1" t="s">
        <v>12</v>
      </c>
      <c r="C122" s="1">
        <v>374403.34299999999</v>
      </c>
      <c r="D122" s="1">
        <v>2.2981685400000001E-4</v>
      </c>
      <c r="E122" s="1">
        <v>18134.2513</v>
      </c>
      <c r="F122" s="1">
        <v>1522.1260500000001</v>
      </c>
      <c r="G122" s="1">
        <v>28526.8567</v>
      </c>
      <c r="H122" s="1">
        <v>126618.091</v>
      </c>
      <c r="I122" s="1">
        <v>2484.4965200000001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2BF5-26D0-894A-BCF9-74BE303FB731}">
  <dimension ref="A1:I22"/>
  <sheetViews>
    <sheetView workbookViewId="0">
      <selection activeCell="G14" sqref="G14"/>
    </sheetView>
  </sheetViews>
  <sheetFormatPr baseColWidth="10" defaultRowHeight="15.75" x14ac:dyDescent="0.25"/>
  <cols>
    <col min="3" max="3" width="14.5" customWidth="1"/>
    <col min="4" max="4" width="12.375" customWidth="1"/>
    <col min="5" max="5" width="13.625" customWidth="1"/>
    <col min="6" max="6" width="17.125" customWidth="1"/>
    <col min="7" max="7" width="14.625" customWidth="1"/>
    <col min="8" max="8" width="12.125" customWidth="1"/>
    <col min="9" max="9" width="17" customWidth="1"/>
  </cols>
  <sheetData>
    <row r="1" spans="1:9" ht="31.5" x14ac:dyDescent="0.25">
      <c r="B1" s="8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</row>
    <row r="2" spans="1:9" x14ac:dyDescent="0.25">
      <c r="A2" s="13" t="s">
        <v>37</v>
      </c>
      <c r="B2" s="1" t="s">
        <v>27</v>
      </c>
      <c r="C2" s="3">
        <v>31.750360000000001</v>
      </c>
      <c r="D2" s="3">
        <v>31.443629999999999</v>
      </c>
      <c r="E2" s="3">
        <v>13.94218</v>
      </c>
      <c r="F2" s="3">
        <v>9.5783170000000002</v>
      </c>
      <c r="G2" s="3">
        <v>5.2208860000000001</v>
      </c>
      <c r="H2" s="3">
        <v>9.0363430000000005</v>
      </c>
      <c r="I2" s="3">
        <v>3.047053</v>
      </c>
    </row>
    <row r="3" spans="1:9" x14ac:dyDescent="0.25">
      <c r="A3" s="13"/>
      <c r="B3" s="1" t="s">
        <v>28</v>
      </c>
      <c r="C3" s="3">
        <v>8.0099630000000008</v>
      </c>
      <c r="D3" s="3">
        <v>7.3723979999999996</v>
      </c>
      <c r="E3" s="3">
        <v>5.1999959999999996</v>
      </c>
      <c r="F3" s="3">
        <v>7.4012630000000001</v>
      </c>
      <c r="G3" s="3">
        <v>5.6309290000000001</v>
      </c>
      <c r="H3" s="3">
        <v>6.8293879999999998</v>
      </c>
      <c r="I3" s="3">
        <v>7.3143580000000004</v>
      </c>
    </row>
    <row r="4" spans="1:9" x14ac:dyDescent="0.25">
      <c r="A4" s="13" t="s">
        <v>10</v>
      </c>
      <c r="B4" s="1" t="s">
        <v>27</v>
      </c>
      <c r="C4" s="3">
        <v>22.271419999999999</v>
      </c>
      <c r="D4" s="3">
        <v>4.9499129999999996</v>
      </c>
      <c r="E4" s="3">
        <v>23.831160000000001</v>
      </c>
      <c r="F4" s="3">
        <v>15.003439999999999</v>
      </c>
      <c r="G4" s="3">
        <v>15.62439</v>
      </c>
      <c r="H4" s="3">
        <v>11.08892</v>
      </c>
      <c r="I4" s="3">
        <v>9.5897450000000006</v>
      </c>
    </row>
    <row r="5" spans="1:9" x14ac:dyDescent="0.25">
      <c r="A5" s="13"/>
      <c r="B5" s="1" t="s">
        <v>28</v>
      </c>
      <c r="C5" s="3">
        <v>14.00507</v>
      </c>
      <c r="D5" s="3">
        <v>12.362489999999999</v>
      </c>
      <c r="E5" s="3">
        <v>14.60094</v>
      </c>
      <c r="F5" s="3">
        <v>12.769489999999999</v>
      </c>
      <c r="G5" s="3">
        <v>11.06278</v>
      </c>
      <c r="H5" s="3">
        <v>15.79824</v>
      </c>
      <c r="I5" s="3">
        <v>20.985469999999999</v>
      </c>
    </row>
    <row r="6" spans="1:9" x14ac:dyDescent="0.25">
      <c r="A6" s="13" t="s">
        <v>38</v>
      </c>
      <c r="B6" s="1" t="s">
        <v>27</v>
      </c>
      <c r="C6" s="3">
        <v>0.65519039999999995</v>
      </c>
      <c r="D6" s="3">
        <v>1.0185</v>
      </c>
      <c r="E6" s="3">
        <v>3.0095000000000001</v>
      </c>
      <c r="F6" s="3">
        <v>2.366676</v>
      </c>
      <c r="G6" s="3">
        <v>1.590751</v>
      </c>
      <c r="H6" s="3">
        <v>5.0086149999999998</v>
      </c>
      <c r="I6" s="3">
        <v>3.3422230000000002</v>
      </c>
    </row>
    <row r="7" spans="1:9" x14ac:dyDescent="0.25">
      <c r="A7" s="13"/>
      <c r="B7" s="1" t="s">
        <v>28</v>
      </c>
      <c r="C7" s="3">
        <v>2.428388</v>
      </c>
      <c r="D7" s="3">
        <v>2.860633</v>
      </c>
      <c r="E7" s="3">
        <v>2.8273709999999999</v>
      </c>
      <c r="F7" s="3">
        <v>4.9855150000000004</v>
      </c>
      <c r="G7" s="3">
        <v>5.8011309999999998</v>
      </c>
      <c r="H7" s="3">
        <v>3.3815520000000001</v>
      </c>
      <c r="I7" s="3">
        <v>2.133248</v>
      </c>
    </row>
    <row r="8" spans="1:9" x14ac:dyDescent="0.25">
      <c r="A8" s="13" t="s">
        <v>39</v>
      </c>
      <c r="B8" s="1" t="s">
        <v>27</v>
      </c>
      <c r="C8" s="3">
        <v>0.97766240000000004</v>
      </c>
      <c r="D8" s="3">
        <v>0.71648409999999996</v>
      </c>
      <c r="E8" s="3">
        <v>0.85461719999999997</v>
      </c>
      <c r="F8" s="3">
        <v>6.4900849999999997</v>
      </c>
      <c r="G8" s="3">
        <v>17.844889999999999</v>
      </c>
      <c r="H8" s="3">
        <v>5.1608840000000002</v>
      </c>
      <c r="I8" s="3">
        <v>1.2589440000000001</v>
      </c>
    </row>
    <row r="9" spans="1:9" x14ac:dyDescent="0.25">
      <c r="A9" s="13"/>
      <c r="B9" s="1" t="s">
        <v>28</v>
      </c>
      <c r="C9" s="3">
        <v>5.9629779999999997</v>
      </c>
      <c r="D9" s="3">
        <v>5.9479100000000003</v>
      </c>
      <c r="E9" s="3">
        <v>4.465236</v>
      </c>
      <c r="F9" s="3">
        <v>10.755890000000001</v>
      </c>
      <c r="G9" s="3">
        <v>13.173450000000001</v>
      </c>
      <c r="H9" s="3">
        <v>3.6564260000000002</v>
      </c>
      <c r="I9" s="3">
        <v>2.3249919999999999</v>
      </c>
    </row>
    <row r="10" spans="1:9" x14ac:dyDescent="0.25">
      <c r="A10" s="13" t="s">
        <v>12</v>
      </c>
      <c r="B10" s="1" t="s">
        <v>27</v>
      </c>
      <c r="C10" s="3">
        <v>5.981128</v>
      </c>
      <c r="D10" s="3">
        <v>6.6311720000000003</v>
      </c>
      <c r="E10" s="3">
        <v>7.3466810000000002</v>
      </c>
      <c r="F10" s="3">
        <v>3.4048029999999998</v>
      </c>
      <c r="G10" s="3">
        <v>2.5532859999999999</v>
      </c>
      <c r="H10" s="3">
        <v>5.6869449999999997</v>
      </c>
      <c r="I10" s="3">
        <v>0.80685240000000003</v>
      </c>
    </row>
    <row r="11" spans="1:9" x14ac:dyDescent="0.25">
      <c r="A11" s="13"/>
      <c r="B11" s="1" t="s">
        <v>28</v>
      </c>
      <c r="C11" s="3">
        <v>2.955311</v>
      </c>
      <c r="D11" s="3">
        <v>3.763201</v>
      </c>
      <c r="E11" s="3">
        <v>2.897351</v>
      </c>
      <c r="F11" s="3">
        <v>5.39961</v>
      </c>
      <c r="G11" s="3">
        <v>4.8073880000000004</v>
      </c>
      <c r="H11" s="3">
        <v>3.69496</v>
      </c>
      <c r="I11" s="3">
        <v>2.4306709999999998</v>
      </c>
    </row>
    <row r="12" spans="1:9" x14ac:dyDescent="0.25">
      <c r="A12" s="13" t="s">
        <v>11</v>
      </c>
      <c r="B12" s="1" t="s">
        <v>27</v>
      </c>
      <c r="C12" s="3">
        <v>2.6631930000000001</v>
      </c>
      <c r="D12" s="3">
        <v>3.6798310000000001</v>
      </c>
      <c r="E12" s="3">
        <v>1.379497</v>
      </c>
      <c r="F12" s="3">
        <v>24.570049999999998</v>
      </c>
      <c r="G12" s="3">
        <v>23.459620000000001</v>
      </c>
      <c r="H12" s="3">
        <v>6.7116100000000003</v>
      </c>
      <c r="I12" s="3">
        <v>3.4268019999999999</v>
      </c>
    </row>
    <row r="13" spans="1:9" x14ac:dyDescent="0.25">
      <c r="A13" s="13"/>
      <c r="B13" s="1" t="s">
        <v>28</v>
      </c>
      <c r="C13" s="3">
        <v>3.7340819999999999</v>
      </c>
      <c r="D13" s="3">
        <v>4.4630549999999998</v>
      </c>
      <c r="E13" s="3">
        <v>3.249911</v>
      </c>
      <c r="F13" s="3">
        <v>6.6068449999999999</v>
      </c>
      <c r="G13" s="3">
        <v>7.1882099999999998</v>
      </c>
      <c r="H13" s="3">
        <v>6.5761529999999997</v>
      </c>
      <c r="I13" s="3">
        <v>4.5340910000000001</v>
      </c>
    </row>
    <row r="14" spans="1:9" x14ac:dyDescent="0.25">
      <c r="A14" s="13" t="s">
        <v>41</v>
      </c>
      <c r="B14" s="1" t="s">
        <v>27</v>
      </c>
      <c r="C14" s="3">
        <v>5.6458899999999996</v>
      </c>
      <c r="D14" s="3">
        <v>6.2497930000000004</v>
      </c>
      <c r="E14" s="3">
        <v>7.8034049999999997</v>
      </c>
      <c r="F14" s="3">
        <v>7.064584</v>
      </c>
      <c r="G14" s="3">
        <v>8.5268700000000006</v>
      </c>
      <c r="H14" s="3">
        <v>10.84154</v>
      </c>
      <c r="I14" s="3">
        <v>41.40813</v>
      </c>
    </row>
    <row r="15" spans="1:9" x14ac:dyDescent="0.25">
      <c r="A15" s="13"/>
      <c r="B15" s="1" t="s">
        <v>28</v>
      </c>
      <c r="C15" s="3">
        <v>16.456240000000001</v>
      </c>
      <c r="D15" s="3">
        <v>14.503030000000001</v>
      </c>
      <c r="E15" s="3">
        <v>14.81423</v>
      </c>
      <c r="F15" s="3">
        <v>15.12176</v>
      </c>
      <c r="G15" s="3">
        <v>17.459099999999999</v>
      </c>
      <c r="H15" s="3">
        <v>21.786670000000001</v>
      </c>
      <c r="I15" s="3">
        <v>27.941960000000002</v>
      </c>
    </row>
    <row r="16" spans="1:9" x14ac:dyDescent="0.25">
      <c r="A16" s="13" t="s">
        <v>40</v>
      </c>
      <c r="B16" s="1" t="s">
        <v>27</v>
      </c>
      <c r="C16" s="3">
        <v>6.6203200000000004</v>
      </c>
      <c r="D16" s="3">
        <v>5.4113689999999997</v>
      </c>
      <c r="E16" s="3">
        <v>17.008859999999999</v>
      </c>
      <c r="F16" s="3">
        <v>7.9195500000000001</v>
      </c>
      <c r="G16" s="3">
        <v>7.1344770000000004</v>
      </c>
      <c r="H16" s="3">
        <v>12.389329999999999</v>
      </c>
      <c r="I16" s="3">
        <v>2.3219409999999998</v>
      </c>
    </row>
    <row r="17" spans="1:9" x14ac:dyDescent="0.25">
      <c r="A17" s="13"/>
      <c r="B17" s="1" t="s">
        <v>28</v>
      </c>
      <c r="C17" s="3">
        <v>4.5689909999999996</v>
      </c>
      <c r="D17" s="3">
        <v>4.3558849999999998</v>
      </c>
      <c r="E17" s="3">
        <v>5.5690210000000002</v>
      </c>
      <c r="F17" s="3">
        <v>6.3989900000000004</v>
      </c>
      <c r="G17" s="3">
        <v>7.9087550000000002</v>
      </c>
      <c r="H17" s="3">
        <v>5.9668000000000001</v>
      </c>
      <c r="I17" s="3">
        <v>4.7659390000000004</v>
      </c>
    </row>
    <row r="18" spans="1:9" x14ac:dyDescent="0.25">
      <c r="A18" s="13" t="s">
        <v>43</v>
      </c>
      <c r="B18" s="1" t="s">
        <v>27</v>
      </c>
      <c r="C18" s="3">
        <v>22.518940000000001</v>
      </c>
      <c r="D18" s="3">
        <v>22.488309999999998</v>
      </c>
      <c r="E18" s="3">
        <v>8.5289649999999995</v>
      </c>
      <c r="F18" s="3">
        <v>20.81701</v>
      </c>
      <c r="G18" s="3">
        <v>16.892710000000001</v>
      </c>
      <c r="H18" s="3">
        <v>27.854009999999999</v>
      </c>
      <c r="I18" s="3">
        <v>22.172470000000001</v>
      </c>
    </row>
    <row r="19" spans="1:9" x14ac:dyDescent="0.25">
      <c r="A19" s="13"/>
      <c r="B19" s="1" t="s">
        <v>28</v>
      </c>
      <c r="C19" s="3">
        <v>31.33915</v>
      </c>
      <c r="D19" s="3">
        <v>33.12771</v>
      </c>
      <c r="E19" s="3">
        <v>35.366959999999999</v>
      </c>
      <c r="F19" s="3">
        <v>20.893809999999998</v>
      </c>
      <c r="G19" s="3">
        <v>18.481020000000001</v>
      </c>
      <c r="H19" s="3">
        <v>20.49306</v>
      </c>
      <c r="I19" s="3">
        <v>17.83652</v>
      </c>
    </row>
    <row r="20" spans="1:9" x14ac:dyDescent="0.25">
      <c r="A20" s="13" t="s">
        <v>42</v>
      </c>
      <c r="B20" s="1" t="s">
        <v>27</v>
      </c>
      <c r="C20" s="3">
        <v>1.287372</v>
      </c>
      <c r="D20" s="3">
        <v>17.929539999999999</v>
      </c>
      <c r="E20" s="3">
        <v>16.75498</v>
      </c>
      <c r="F20" s="3">
        <v>3.5246170000000001</v>
      </c>
      <c r="G20" s="3">
        <v>1.7024049999999999</v>
      </c>
      <c r="H20" s="3">
        <v>5.6846189999999996</v>
      </c>
      <c r="I20" s="3">
        <v>11.57699</v>
      </c>
    </row>
    <row r="21" spans="1:9" x14ac:dyDescent="0.25">
      <c r="A21" s="13"/>
      <c r="B21" s="1" t="s">
        <v>28</v>
      </c>
      <c r="C21" s="3">
        <v>10.476710000000001</v>
      </c>
      <c r="D21" s="3">
        <v>10.91133</v>
      </c>
      <c r="E21" s="3">
        <v>10.055339999999999</v>
      </c>
      <c r="F21" s="3">
        <v>9.1817550000000008</v>
      </c>
      <c r="G21" s="3">
        <v>7.8954690000000003</v>
      </c>
      <c r="H21" s="3">
        <v>11.57699</v>
      </c>
      <c r="I21" s="3">
        <v>9.6794170000000008</v>
      </c>
    </row>
    <row r="22" spans="1:9" x14ac:dyDescent="0.25">
      <c r="B22" s="1"/>
      <c r="C22" s="4"/>
      <c r="D22" s="4"/>
      <c r="E22" s="4"/>
      <c r="F22" s="4"/>
      <c r="G22" s="4"/>
      <c r="H22" s="4"/>
      <c r="I22" s="4"/>
    </row>
  </sheetData>
  <mergeCells count="10">
    <mergeCell ref="A16:A17"/>
    <mergeCell ref="A14:A15"/>
    <mergeCell ref="A18:A19"/>
    <mergeCell ref="A20:A2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621F-17A8-4443-88D5-1B1B47B3F56C}">
  <dimension ref="A1:S45"/>
  <sheetViews>
    <sheetView workbookViewId="0">
      <selection activeCell="D35" sqref="D35"/>
    </sheetView>
  </sheetViews>
  <sheetFormatPr baseColWidth="10" defaultRowHeight="15.75" x14ac:dyDescent="0.25"/>
  <cols>
    <col min="2" max="2" width="12.125" bestFit="1" customWidth="1"/>
    <col min="3" max="3" width="11.125" bestFit="1" customWidth="1"/>
    <col min="4" max="4" width="11.625" bestFit="1" customWidth="1"/>
    <col min="5" max="5" width="11.375" bestFit="1" customWidth="1"/>
    <col min="9" max="12" width="12.125" bestFit="1" customWidth="1"/>
    <col min="16" max="19" width="12.125" bestFit="1" customWidth="1"/>
  </cols>
  <sheetData>
    <row r="1" spans="1:19" x14ac:dyDescent="0.25">
      <c r="A1" s="11" t="s">
        <v>13</v>
      </c>
      <c r="H1" s="11" t="s">
        <v>14</v>
      </c>
      <c r="O1" s="11" t="s">
        <v>15</v>
      </c>
    </row>
    <row r="2" spans="1:19" x14ac:dyDescent="0.25">
      <c r="B2" s="11" t="s">
        <v>59</v>
      </c>
      <c r="C2" s="11" t="s">
        <v>60</v>
      </c>
      <c r="D2" s="11" t="s">
        <v>61</v>
      </c>
      <c r="E2" s="11" t="s">
        <v>62</v>
      </c>
      <c r="H2" s="11"/>
      <c r="I2" s="11" t="s">
        <v>59</v>
      </c>
      <c r="J2" s="11" t="s">
        <v>60</v>
      </c>
      <c r="K2" s="11" t="s">
        <v>61</v>
      </c>
      <c r="L2" s="11" t="s">
        <v>62</v>
      </c>
      <c r="P2" s="11" t="s">
        <v>59</v>
      </c>
      <c r="Q2" s="11" t="s">
        <v>60</v>
      </c>
      <c r="R2" s="11" t="s">
        <v>61</v>
      </c>
      <c r="S2" s="11" t="s">
        <v>62</v>
      </c>
    </row>
    <row r="3" spans="1:19" x14ac:dyDescent="0.25">
      <c r="A3" s="11" t="s">
        <v>2</v>
      </c>
      <c r="B3">
        <v>8.1880860440000003</v>
      </c>
      <c r="C3">
        <v>0.12212866</v>
      </c>
      <c r="D3" s="10">
        <v>0.105</v>
      </c>
      <c r="E3" s="10">
        <v>1.2999999999999999E-2</v>
      </c>
      <c r="H3" s="11" t="s">
        <v>2</v>
      </c>
      <c r="I3">
        <v>0.61375253047843825</v>
      </c>
      <c r="J3">
        <v>1.6293211845830931</v>
      </c>
      <c r="K3" s="12">
        <v>0.10910426299414011</v>
      </c>
      <c r="L3" s="12">
        <v>0.17776588702467769</v>
      </c>
      <c r="O3" s="11" t="s">
        <v>2</v>
      </c>
      <c r="P3">
        <v>0.60537224492449171</v>
      </c>
      <c r="Q3">
        <v>1.6518761941666658</v>
      </c>
      <c r="R3" s="12">
        <v>0.10121220059778656</v>
      </c>
      <c r="S3" s="12">
        <v>0.1671900247267048</v>
      </c>
    </row>
    <row r="4" spans="1:19" x14ac:dyDescent="0.25">
      <c r="A4" s="11" t="s">
        <v>3</v>
      </c>
      <c r="B4">
        <v>1.394903064</v>
      </c>
      <c r="C4">
        <v>0.71689568999999997</v>
      </c>
      <c r="D4" s="10">
        <v>0.313</v>
      </c>
      <c r="E4" s="10">
        <v>0.224</v>
      </c>
      <c r="H4" s="11" t="s">
        <v>3</v>
      </c>
      <c r="I4">
        <v>1.4772858036202192</v>
      </c>
      <c r="J4">
        <v>0.67691708506871984</v>
      </c>
      <c r="K4" s="12">
        <v>0.33110072477370456</v>
      </c>
      <c r="L4" s="12">
        <v>0.22412773747795656</v>
      </c>
      <c r="O4" s="11" t="s">
        <v>3</v>
      </c>
      <c r="P4">
        <v>4.1542899579644423</v>
      </c>
      <c r="Q4">
        <v>0.24071502233079303</v>
      </c>
      <c r="R4" s="12">
        <v>0.35579465854552045</v>
      </c>
      <c r="S4" s="12">
        <v>8.5645119176961854E-2</v>
      </c>
    </row>
    <row r="5" spans="1:19" x14ac:dyDescent="0.25">
      <c r="A5" s="11" t="s">
        <v>4</v>
      </c>
      <c r="B5">
        <v>2.9258591279999999</v>
      </c>
      <c r="C5">
        <v>0.34177995</v>
      </c>
      <c r="D5" s="10">
        <v>0.16500000000000001</v>
      </c>
      <c r="E5" s="10">
        <v>5.6000000000000001E-2</v>
      </c>
      <c r="H5" s="11" t="s">
        <v>4</v>
      </c>
      <c r="I5">
        <v>2.3293435964347058</v>
      </c>
      <c r="J5">
        <v>0.42930549255618639</v>
      </c>
      <c r="K5" s="12">
        <v>0.14539253793801427</v>
      </c>
      <c r="L5" s="12">
        <v>6.2417815113473232E-2</v>
      </c>
      <c r="O5" s="11" t="s">
        <v>4</v>
      </c>
      <c r="P5">
        <v>1.9070076610359628</v>
      </c>
      <c r="Q5">
        <v>0.52438174236634161</v>
      </c>
      <c r="R5" s="12">
        <v>0.1494716836033442</v>
      </c>
      <c r="S5" s="12">
        <v>7.8380221882352163E-2</v>
      </c>
    </row>
    <row r="6" spans="1:19" x14ac:dyDescent="0.25">
      <c r="A6" s="11" t="s">
        <v>5</v>
      </c>
      <c r="B6">
        <v>0.69727383099999996</v>
      </c>
      <c r="C6">
        <v>1.4341567900000001</v>
      </c>
      <c r="D6" s="10">
        <v>4.5999999999999999E-2</v>
      </c>
      <c r="E6" s="10">
        <v>6.6000000000000003E-2</v>
      </c>
      <c r="H6" s="11" t="s">
        <v>5</v>
      </c>
      <c r="I6">
        <v>0.81831660030456455</v>
      </c>
      <c r="J6">
        <v>1.222020914188733</v>
      </c>
      <c r="K6" s="12">
        <v>4.4136812832871707E-2</v>
      </c>
      <c r="L6" s="12">
        <v>5.3936108367402882E-2</v>
      </c>
      <c r="O6" s="11" t="s">
        <v>5</v>
      </c>
      <c r="P6">
        <v>0.33082922070724602</v>
      </c>
      <c r="Q6">
        <v>3.0227076008044333</v>
      </c>
      <c r="R6" s="12">
        <v>5.6540605152107334E-2</v>
      </c>
      <c r="S6" s="12">
        <v>0.17090571694735715</v>
      </c>
    </row>
    <row r="7" spans="1:19" x14ac:dyDescent="0.25">
      <c r="A7" s="11" t="s">
        <v>6</v>
      </c>
      <c r="B7">
        <v>0.43137789700000001</v>
      </c>
      <c r="C7">
        <v>2.3181530800000001</v>
      </c>
      <c r="D7" s="10">
        <v>7.0000000000000001E-3</v>
      </c>
      <c r="E7" s="10">
        <v>1.7000000000000001E-2</v>
      </c>
      <c r="H7" s="11" t="s">
        <v>6</v>
      </c>
      <c r="I7">
        <v>0.38941177267138005</v>
      </c>
      <c r="J7">
        <v>2.5679757782872374</v>
      </c>
      <c r="K7" s="12">
        <v>5.6809510627681614E-3</v>
      </c>
      <c r="L7" s="12">
        <v>1.4588544726823778E-2</v>
      </c>
      <c r="O7" s="11" t="s">
        <v>6</v>
      </c>
      <c r="P7">
        <v>0.39623988176919045</v>
      </c>
      <c r="Q7">
        <v>2.5237237491972087</v>
      </c>
      <c r="R7" s="12">
        <v>5.0799744739878396E-3</v>
      </c>
      <c r="S7" s="12">
        <v>1.2820452225318708E-2</v>
      </c>
    </row>
    <row r="8" spans="1:19" x14ac:dyDescent="0.25">
      <c r="A8" s="11" t="s">
        <v>7</v>
      </c>
      <c r="B8">
        <v>0.24601209800000001</v>
      </c>
      <c r="C8">
        <v>4.0648407400000002</v>
      </c>
      <c r="D8" s="10">
        <v>7.3999999999999996E-2</v>
      </c>
      <c r="E8" s="10">
        <v>0.3</v>
      </c>
      <c r="H8" s="11" t="s">
        <v>7</v>
      </c>
      <c r="I8">
        <v>0.23264319967684921</v>
      </c>
      <c r="J8">
        <v>4.2984278130159845</v>
      </c>
      <c r="K8" s="12">
        <v>6.9807222700695462E-2</v>
      </c>
      <c r="L8" s="12">
        <v>0.30006130760607019</v>
      </c>
      <c r="O8" s="11" t="s">
        <v>7</v>
      </c>
      <c r="P8">
        <v>0.38274208037042706</v>
      </c>
      <c r="Q8">
        <v>2.6127255174873265</v>
      </c>
      <c r="R8" s="12">
        <v>4.8952242685687195E-2</v>
      </c>
      <c r="S8" s="12">
        <v>0.12789877360312729</v>
      </c>
    </row>
    <row r="9" spans="1:19" x14ac:dyDescent="0.25">
      <c r="A9" s="11" t="s">
        <v>8</v>
      </c>
      <c r="B9">
        <v>3.7831447389999999</v>
      </c>
      <c r="C9">
        <v>0.26433035999999999</v>
      </c>
      <c r="D9" s="10">
        <v>2.4E-2</v>
      </c>
      <c r="E9" s="10">
        <v>6.0000000000000001E-3</v>
      </c>
      <c r="H9" s="11" t="s">
        <v>8</v>
      </c>
      <c r="I9">
        <v>3.3679637458380709</v>
      </c>
      <c r="J9">
        <v>0.29691531009968275</v>
      </c>
      <c r="K9" s="12">
        <v>2.8848625631688361E-2</v>
      </c>
      <c r="L9" s="12">
        <v>8.5655986253824062E-3</v>
      </c>
      <c r="O9" s="11" t="s">
        <v>8</v>
      </c>
      <c r="P9">
        <v>1.3110203906618945</v>
      </c>
      <c r="Q9">
        <v>0.76276464281011702</v>
      </c>
      <c r="R9" s="12">
        <v>2.8753957092632582E-2</v>
      </c>
      <c r="S9" s="12">
        <v>2.1932501811139322E-2</v>
      </c>
    </row>
    <row r="10" spans="1:19" x14ac:dyDescent="0.25">
      <c r="A10" s="11" t="s">
        <v>9</v>
      </c>
      <c r="B10">
        <v>6.2405892930000002</v>
      </c>
      <c r="C10">
        <v>0.16024128000000001</v>
      </c>
      <c r="D10" s="10">
        <v>0.06</v>
      </c>
      <c r="E10" s="10">
        <v>0.01</v>
      </c>
      <c r="H10" s="11" t="s">
        <v>9</v>
      </c>
      <c r="I10">
        <v>8.5324695368835588</v>
      </c>
      <c r="J10">
        <v>0.11719936363994859</v>
      </c>
      <c r="K10" s="12">
        <v>5.9726422894453707E-2</v>
      </c>
      <c r="L10" s="12">
        <v>6.9998987557204307E-3</v>
      </c>
      <c r="O10" s="11" t="s">
        <v>9</v>
      </c>
      <c r="P10">
        <v>5.325886790128763</v>
      </c>
      <c r="Q10">
        <v>0.18776215856736661</v>
      </c>
      <c r="R10" s="12">
        <v>4.5156007949085843E-2</v>
      </c>
      <c r="S10" s="12">
        <v>8.4785895248055219E-3</v>
      </c>
    </row>
    <row r="11" spans="1:19" x14ac:dyDescent="0.25">
      <c r="A11" s="11" t="s">
        <v>10</v>
      </c>
      <c r="B11">
        <v>0.62982788099999998</v>
      </c>
      <c r="C11">
        <v>1.5877353599999999</v>
      </c>
      <c r="D11" s="10">
        <v>0.14000000000000001</v>
      </c>
      <c r="E11" s="10">
        <v>0.222</v>
      </c>
      <c r="H11" s="11" t="s">
        <v>10</v>
      </c>
      <c r="I11">
        <v>2.5016355754083581</v>
      </c>
      <c r="J11">
        <v>0.39973847902956988</v>
      </c>
      <c r="K11" s="12">
        <v>0.12352400733927046</v>
      </c>
      <c r="L11" s="12">
        <v>4.9377298817437403E-2</v>
      </c>
      <c r="O11" s="11" t="s">
        <v>10</v>
      </c>
      <c r="P11">
        <v>0.61374538608215401</v>
      </c>
      <c r="Q11">
        <v>1.6293401509435432</v>
      </c>
      <c r="R11" s="12">
        <v>0.1469120129632587</v>
      </c>
      <c r="S11" s="12">
        <v>0.23936964137697569</v>
      </c>
    </row>
    <row r="12" spans="1:19" x14ac:dyDescent="0.25">
      <c r="A12" s="11" t="s">
        <v>11</v>
      </c>
      <c r="B12">
        <v>1.4303489030000001</v>
      </c>
      <c r="C12">
        <v>0.69913011999999997</v>
      </c>
      <c r="D12" s="10">
        <v>3.7999999999999999E-2</v>
      </c>
      <c r="E12" s="10">
        <v>2.5999999999999999E-2</v>
      </c>
      <c r="H12" s="11" t="s">
        <v>11</v>
      </c>
      <c r="I12">
        <v>1.2393883982914391</v>
      </c>
      <c r="J12">
        <v>0.80684957304631189</v>
      </c>
      <c r="K12" s="12">
        <v>4.4852025542486552E-2</v>
      </c>
      <c r="L12" s="12">
        <v>3.618883765921755E-2</v>
      </c>
      <c r="O12" s="11" t="s">
        <v>11</v>
      </c>
      <c r="P12">
        <v>2.4030673907853299</v>
      </c>
      <c r="Q12">
        <v>0.41613481329510149</v>
      </c>
      <c r="R12" s="12">
        <v>3.2890187095307694E-2</v>
      </c>
      <c r="S12" s="12">
        <v>1.3686751866146823E-2</v>
      </c>
    </row>
    <row r="13" spans="1:19" x14ac:dyDescent="0.25">
      <c r="A13" s="11" t="s">
        <v>12</v>
      </c>
      <c r="B13">
        <v>0.496427332</v>
      </c>
      <c r="C13">
        <v>2.01439352</v>
      </c>
      <c r="D13" s="10">
        <v>0.03</v>
      </c>
      <c r="E13" s="10">
        <v>0.06</v>
      </c>
      <c r="H13" s="11" t="s">
        <v>12</v>
      </c>
      <c r="I13">
        <v>0.57337960444247138</v>
      </c>
      <c r="J13">
        <v>1.7440452925987056</v>
      </c>
      <c r="K13" s="12">
        <v>3.7826406289906821E-2</v>
      </c>
      <c r="L13" s="12">
        <v>6.5970965825838057E-2</v>
      </c>
      <c r="O13" s="11" t="s">
        <v>12</v>
      </c>
      <c r="P13">
        <v>0.39673760750818055</v>
      </c>
      <c r="Q13">
        <v>2.5205576206419513</v>
      </c>
      <c r="R13" s="12">
        <v>2.9236469841281486E-2</v>
      </c>
      <c r="S13" s="12">
        <v>7.369220685911064E-2</v>
      </c>
    </row>
    <row r="17" spans="1:19" x14ac:dyDescent="0.25">
      <c r="A17" s="11" t="s">
        <v>16</v>
      </c>
      <c r="H17" s="11" t="s">
        <v>17</v>
      </c>
      <c r="O17" s="11" t="s">
        <v>18</v>
      </c>
    </row>
    <row r="18" spans="1:19" x14ac:dyDescent="0.25">
      <c r="B18" s="11" t="s">
        <v>59</v>
      </c>
      <c r="C18" s="11" t="s">
        <v>60</v>
      </c>
      <c r="D18" s="11" t="s">
        <v>61</v>
      </c>
      <c r="E18" s="11" t="s">
        <v>62</v>
      </c>
      <c r="I18" s="11" t="s">
        <v>59</v>
      </c>
      <c r="J18" s="11" t="s">
        <v>60</v>
      </c>
      <c r="K18" s="11" t="s">
        <v>61</v>
      </c>
      <c r="L18" s="11" t="s">
        <v>62</v>
      </c>
      <c r="P18" s="11" t="s">
        <v>59</v>
      </c>
      <c r="Q18" s="11" t="s">
        <v>60</v>
      </c>
      <c r="R18" s="11" t="s">
        <v>61</v>
      </c>
      <c r="S18" s="11" t="s">
        <v>62</v>
      </c>
    </row>
    <row r="19" spans="1:19" x14ac:dyDescent="0.25">
      <c r="A19" s="11" t="s">
        <v>2</v>
      </c>
      <c r="B19">
        <f ca="1">SUMIF($B$2:$B$122, A19,$C$2:$C$122)/SUMIF($A$2:$A$122, A19,$C$2:$C$122)</f>
        <v>2.6232564846667121</v>
      </c>
      <c r="C19">
        <f ca="1">1/B19</f>
        <v>0.38120557629234308</v>
      </c>
      <c r="D19" s="12">
        <f ca="1">SUMIF($B$2:$B$122, A19,$C$2:$C$122)/SUM($C$2:$C$122)</f>
        <v>9.1928693371548062E-2</v>
      </c>
      <c r="E19" s="12">
        <f ca="1">SUMIF($A$2:$A$122, A19,$C$2:$C$122)/SUM($C$2:$C$122)</f>
        <v>3.5043730534503083E-2</v>
      </c>
      <c r="H19" s="11" t="s">
        <v>2</v>
      </c>
      <c r="I19">
        <f ca="1">SUMIF($B$2:$B$122, H19,$C$2:$C$122)/SUMIF($A$2:$A$122, H19,$C$2:$C$122)</f>
        <v>4.6707779972196102</v>
      </c>
      <c r="J19">
        <f ca="1">1/I19</f>
        <v>0.21409709487269002</v>
      </c>
      <c r="K19" s="12">
        <f ca="1">SUMIF($B$2:$B$122, H19,$C$2:$C$122)/SUM($C$2:$C$122)</f>
        <v>7.9264044923931243E-2</v>
      </c>
      <c r="L19" s="12">
        <f ca="1">SUMIF($A$2:$A$122, H19,$C$2:$C$122)/SUM($C$2:$C$122)</f>
        <v>1.6970201746072073E-2</v>
      </c>
      <c r="O19" s="11" t="s">
        <v>2</v>
      </c>
      <c r="P19">
        <f ca="1">SUMIF($B$2:$B$122, O19,$C$2:$C$122)/SUMIF($A$2:$A$122, O19,$C$2:$C$122)</f>
        <v>2.0092801263287923</v>
      </c>
      <c r="Q19">
        <f ca="1">1/P19</f>
        <v>0.49769068379087883</v>
      </c>
      <c r="R19" s="12">
        <f ca="1">SUMIF($B$2:$B$122, O19,$C$2:$C$122)/SUM($C$2:$C$122)</f>
        <v>0.1148865708873659</v>
      </c>
      <c r="S19" s="12">
        <f ca="1">SUMIF($A$2:$A$122, O19,$C$2:$C$122)/SUM($C$2:$C$122)</f>
        <v>5.7177976023322398E-2</v>
      </c>
    </row>
    <row r="20" spans="1:19" x14ac:dyDescent="0.25">
      <c r="A20" s="11" t="s">
        <v>3</v>
      </c>
      <c r="B20">
        <f t="shared" ref="B20:B29" ca="1" si="0">SUMIF($B$2:$B$122, A20,$C$2:$C$122)/SUMIF($A$2:$A$122, A20,$C$2:$C$122)</f>
        <v>1.0066138061907559</v>
      </c>
      <c r="C20">
        <f t="shared" ref="C20:C29" ca="1" si="1">1/B20</f>
        <v>0.99342964883843188</v>
      </c>
      <c r="D20" s="12">
        <f t="shared" ref="D20:D29" ca="1" si="2">SUMIF($B$2:$B$122, A20,$C$2:$C$122)/SUM($C$2:$C$122)</f>
        <v>0.20883292987118016</v>
      </c>
      <c r="E20" s="12">
        <f t="shared" ref="E20:E29" ca="1" si="3">SUMIF($A$2:$A$122, A20,$C$2:$C$122)/SUM($C$2:$C$122)</f>
        <v>0.20746082418782738</v>
      </c>
      <c r="H20" s="11" t="s">
        <v>3</v>
      </c>
      <c r="I20">
        <f t="shared" ref="I20:I29" ca="1" si="4">SUMIF($B$2:$B$122, H20,$C$2:$C$122)/SUMIF($A$2:$A$122, H20,$C$2:$C$122)</f>
        <v>1.0965981118181731</v>
      </c>
      <c r="J20">
        <f t="shared" ref="J20:J29" ca="1" si="5">1/I20</f>
        <v>0.91191110874884485</v>
      </c>
      <c r="K20" s="12">
        <f t="shared" ref="K20:K29" ca="1" si="6">SUMIF($B$2:$B$122, H20,$C$2:$C$122)/SUM($C$2:$C$122)</f>
        <v>0.18519161323122524</v>
      </c>
      <c r="L20" s="12">
        <f t="shared" ref="L20:L29" ca="1" si="7">SUMIF($A$2:$A$122, H20,$C$2:$C$122)/SUM($C$2:$C$122)</f>
        <v>0.16887828935267385</v>
      </c>
      <c r="O20" s="11" t="s">
        <v>3</v>
      </c>
      <c r="P20">
        <f t="shared" ref="P20:P29" ca="1" si="8">SUMIF($B$2:$B$122, O20,$C$2:$C$122)/SUMIF($A$2:$A$122, O20,$C$2:$C$122)</f>
        <v>0.73112662978166021</v>
      </c>
      <c r="Q20">
        <f t="shared" ref="Q20:Q29" ca="1" si="9">1/P20</f>
        <v>1.3677521229101377</v>
      </c>
      <c r="R20" s="12">
        <f t="shared" ref="R20:R29" ca="1" si="10">SUMIF($B$2:$B$122, O20,$C$2:$C$122)/SUM($C$2:$C$122)</f>
        <v>0.20504500495642283</v>
      </c>
      <c r="S20" s="12">
        <f t="shared" ref="S20:S29" ca="1" si="11">SUMIF($A$2:$A$122, O20,$C$2:$C$122)/SUM($C$2:$C$122)</f>
        <v>0.28045074082126703</v>
      </c>
    </row>
    <row r="21" spans="1:19" x14ac:dyDescent="0.25">
      <c r="A21" s="2" t="s">
        <v>4</v>
      </c>
      <c r="B21">
        <f t="shared" ca="1" si="0"/>
        <v>2.1502473243585363</v>
      </c>
      <c r="C21">
        <f t="shared" ca="1" si="1"/>
        <v>0.46506278076561303</v>
      </c>
      <c r="D21" s="12">
        <f t="shared" ca="1" si="2"/>
        <v>0.15161245737987447</v>
      </c>
      <c r="E21" s="12">
        <f t="shared" ca="1" si="3"/>
        <v>7.0509311027792412E-2</v>
      </c>
      <c r="H21" s="2" t="s">
        <v>4</v>
      </c>
      <c r="I21">
        <f t="shared" ca="1" si="4"/>
        <v>2.0533876378476492</v>
      </c>
      <c r="J21">
        <f t="shared" ca="1" si="5"/>
        <v>0.48700010731933452</v>
      </c>
      <c r="K21" s="12">
        <f t="shared" ca="1" si="6"/>
        <v>0.17549648195412032</v>
      </c>
      <c r="L21" s="12">
        <f t="shared" ca="1" si="7"/>
        <v>8.5466805545822269E-2</v>
      </c>
      <c r="O21" s="2" t="s">
        <v>4</v>
      </c>
      <c r="P21">
        <f t="shared" ca="1" si="8"/>
        <v>2.0090854726041716</v>
      </c>
      <c r="Q21">
        <f t="shared" ca="1" si="9"/>
        <v>0.49773890341449856</v>
      </c>
      <c r="R21" s="12">
        <f t="shared" ca="1" si="10"/>
        <v>0.21937695018126105</v>
      </c>
      <c r="S21" s="12">
        <f t="shared" ca="1" si="11"/>
        <v>0.10919244261763797</v>
      </c>
    </row>
    <row r="22" spans="1:19" x14ac:dyDescent="0.25">
      <c r="A22" s="2" t="s">
        <v>5</v>
      </c>
      <c r="B22">
        <f t="shared" ca="1" si="0"/>
        <v>0.81230707776813138</v>
      </c>
      <c r="C22">
        <f t="shared" ca="1" si="1"/>
        <v>1.2310615374022933</v>
      </c>
      <c r="D22" s="12">
        <f t="shared" ca="1" si="2"/>
        <v>6.4119005292995412E-2</v>
      </c>
      <c r="E22" s="12">
        <f t="shared" ca="1" si="3"/>
        <v>7.89344412327007E-2</v>
      </c>
      <c r="H22" s="2" t="s">
        <v>5</v>
      </c>
      <c r="I22">
        <f t="shared" ca="1" si="4"/>
        <v>1.1148119089840276</v>
      </c>
      <c r="J22">
        <f t="shared" ca="1" si="5"/>
        <v>0.8970123048930646</v>
      </c>
      <c r="K22" s="12">
        <f t="shared" ca="1" si="6"/>
        <v>7.9475721366477431E-2</v>
      </c>
      <c r="L22" s="12">
        <f t="shared" ca="1" si="7"/>
        <v>7.1290700005982907E-2</v>
      </c>
      <c r="O22" s="2" t="s">
        <v>5</v>
      </c>
      <c r="P22">
        <f t="shared" ca="1" si="8"/>
        <v>0.48068910275575272</v>
      </c>
      <c r="Q22">
        <f t="shared" ca="1" si="9"/>
        <v>2.0803467236246438</v>
      </c>
      <c r="R22" s="12">
        <f t="shared" ca="1" si="10"/>
        <v>6.0135826089531899E-2</v>
      </c>
      <c r="S22" s="12">
        <f t="shared" ca="1" si="11"/>
        <v>0.12510336877781905</v>
      </c>
    </row>
    <row r="23" spans="1:19" x14ac:dyDescent="0.25">
      <c r="A23" s="2" t="s">
        <v>6</v>
      </c>
      <c r="B23">
        <f t="shared" ca="1" si="0"/>
        <v>0.6249708095647778</v>
      </c>
      <c r="C23">
        <f t="shared" ca="1" si="1"/>
        <v>1.6000747310044576</v>
      </c>
      <c r="D23" s="12">
        <f t="shared" ca="1" si="2"/>
        <v>5.5992494013255905E-3</v>
      </c>
      <c r="E23" s="12">
        <f t="shared" ca="1" si="3"/>
        <v>8.9592174796529148E-3</v>
      </c>
      <c r="H23" s="2" t="s">
        <v>6</v>
      </c>
      <c r="I23">
        <f t="shared" ca="1" si="4"/>
        <v>1.6480209753667199</v>
      </c>
      <c r="J23">
        <f t="shared" ca="1" si="5"/>
        <v>0.60678839344109603</v>
      </c>
      <c r="K23" s="12">
        <f t="shared" ca="1" si="6"/>
        <v>4.0632217022491205E-3</v>
      </c>
      <c r="L23" s="12">
        <f t="shared" ca="1" si="7"/>
        <v>2.4655157689027389E-3</v>
      </c>
      <c r="O23" s="2" t="s">
        <v>6</v>
      </c>
      <c r="P23">
        <f t="shared" ca="1" si="8"/>
        <v>1.0044460778026176</v>
      </c>
      <c r="Q23">
        <f t="shared" ca="1" si="9"/>
        <v>0.99557360230591563</v>
      </c>
      <c r="R23" s="12">
        <f t="shared" ca="1" si="10"/>
        <v>6.9978230935236006E-3</v>
      </c>
      <c r="S23" s="12">
        <f t="shared" ca="1" si="11"/>
        <v>6.9668479455188177E-3</v>
      </c>
    </row>
    <row r="24" spans="1:19" x14ac:dyDescent="0.25">
      <c r="A24" s="2" t="s">
        <v>7</v>
      </c>
      <c r="B24">
        <f t="shared" ca="1" si="0"/>
        <v>0.82785907623273658</v>
      </c>
      <c r="C24">
        <f t="shared" ca="1" si="1"/>
        <v>1.2079350564719415</v>
      </c>
      <c r="D24" s="12">
        <f t="shared" ca="1" si="2"/>
        <v>7.1994894406080354E-2</v>
      </c>
      <c r="E24" s="12">
        <f t="shared" ca="1" si="3"/>
        <v>8.6965156840100144E-2</v>
      </c>
      <c r="H24" s="2" t="s">
        <v>7</v>
      </c>
      <c r="I24">
        <f t="shared" ca="1" si="4"/>
        <v>1.1015311041900722</v>
      </c>
      <c r="J24">
        <f t="shared" ca="1" si="5"/>
        <v>0.90782729257134742</v>
      </c>
      <c r="K24" s="12">
        <f t="shared" ca="1" si="6"/>
        <v>5.4924956609178233E-2</v>
      </c>
      <c r="L24" s="12">
        <f t="shared" ca="1" si="7"/>
        <v>4.9862374653109005E-2</v>
      </c>
      <c r="O24" s="2" t="s">
        <v>7</v>
      </c>
      <c r="P24">
        <f t="shared" ca="1" si="8"/>
        <v>0.74184164839387179</v>
      </c>
      <c r="Q24">
        <f t="shared" ca="1" si="9"/>
        <v>1.3479965733456127</v>
      </c>
      <c r="R24" s="12">
        <f t="shared" ca="1" si="10"/>
        <v>6.271416943875105E-2</v>
      </c>
      <c r="S24" s="12">
        <f t="shared" ca="1" si="11"/>
        <v>8.4538485503652561E-2</v>
      </c>
    </row>
    <row r="25" spans="1:19" x14ac:dyDescent="0.25">
      <c r="A25" s="2" t="s">
        <v>8</v>
      </c>
      <c r="B25">
        <f t="shared" ca="1" si="0"/>
        <v>2.1570144794838315</v>
      </c>
      <c r="C25">
        <f t="shared" ca="1" si="1"/>
        <v>0.46360374930783849</v>
      </c>
      <c r="D25" s="12">
        <f t="shared" ca="1" si="2"/>
        <v>4.9812257770542955E-2</v>
      </c>
      <c r="E25" s="12">
        <f t="shared" ca="1" si="3"/>
        <v>2.3093149463912225E-2</v>
      </c>
      <c r="H25" s="2" t="s">
        <v>8</v>
      </c>
      <c r="I25">
        <f t="shared" ca="1" si="4"/>
        <v>3.7120410502673509</v>
      </c>
      <c r="J25">
        <f t="shared" ca="1" si="5"/>
        <v>0.26939357255437069</v>
      </c>
      <c r="K25" s="12">
        <f t="shared" ca="1" si="6"/>
        <v>5.8027916049429674E-2</v>
      </c>
      <c r="L25" s="12">
        <f t="shared" ca="1" si="7"/>
        <v>1.5632347612440964E-2</v>
      </c>
      <c r="O25" s="2" t="s">
        <v>8</v>
      </c>
      <c r="P25">
        <f t="shared" ca="1" si="8"/>
        <v>0.69296705569100103</v>
      </c>
      <c r="Q25">
        <f t="shared" ca="1" si="9"/>
        <v>1.443070044654341</v>
      </c>
      <c r="R25" s="12">
        <f t="shared" ca="1" si="10"/>
        <v>3.3818342355330204E-2</v>
      </c>
      <c r="S25" s="12">
        <f t="shared" ca="1" si="11"/>
        <v>4.8802236812842147E-2</v>
      </c>
    </row>
    <row r="26" spans="1:19" x14ac:dyDescent="0.25">
      <c r="A26" s="2" t="s">
        <v>9</v>
      </c>
      <c r="B26">
        <f t="shared" ca="1" si="0"/>
        <v>1.6811777135015107</v>
      </c>
      <c r="C26">
        <f t="shared" ca="1" si="1"/>
        <v>0.59482111377578728</v>
      </c>
      <c r="D26" s="12">
        <f t="shared" ca="1" si="2"/>
        <v>0.10776631786645811</v>
      </c>
      <c r="E26" s="12">
        <f t="shared" ca="1" si="3"/>
        <v>6.4101681220842144E-2</v>
      </c>
      <c r="H26" s="2" t="s">
        <v>9</v>
      </c>
      <c r="I26">
        <f t="shared" ca="1" si="4"/>
        <v>0.74797720227631892</v>
      </c>
      <c r="J26">
        <f t="shared" ca="1" si="5"/>
        <v>1.3369391432742872</v>
      </c>
      <c r="K26" s="12">
        <f t="shared" ca="1" si="6"/>
        <v>0.13216665927696922</v>
      </c>
      <c r="L26" s="12">
        <f t="shared" ca="1" si="7"/>
        <v>0.17669878022317584</v>
      </c>
      <c r="O26" s="2" t="s">
        <v>9</v>
      </c>
      <c r="P26">
        <f t="shared" ca="1" si="8"/>
        <v>0.71273625977842914</v>
      </c>
      <c r="Q26">
        <f t="shared" ca="1" si="9"/>
        <v>1.403043532976523</v>
      </c>
      <c r="R26" s="12">
        <f t="shared" ca="1" si="10"/>
        <v>3.6864990091650326E-2</v>
      </c>
      <c r="S26" s="12">
        <f t="shared" ca="1" si="11"/>
        <v>5.1723185941333585E-2</v>
      </c>
    </row>
    <row r="27" spans="1:19" x14ac:dyDescent="0.25">
      <c r="A27" s="2" t="s">
        <v>10</v>
      </c>
      <c r="B27">
        <f t="shared" ca="1" si="0"/>
        <v>0.85456103174262321</v>
      </c>
      <c r="C27">
        <f t="shared" ca="1" si="1"/>
        <v>1.1701914349649167</v>
      </c>
      <c r="D27" s="12">
        <f t="shared" ca="1" si="2"/>
        <v>0.1277480792724757</v>
      </c>
      <c r="E27" s="12">
        <f t="shared" ca="1" si="3"/>
        <v>0.14948970819787027</v>
      </c>
      <c r="H27" s="2" t="s">
        <v>10</v>
      </c>
      <c r="I27">
        <f t="shared" ca="1" si="4"/>
        <v>0.71028193121612349</v>
      </c>
      <c r="J27">
        <f t="shared" ca="1" si="5"/>
        <v>1.4078916498520946</v>
      </c>
      <c r="K27" s="12">
        <f t="shared" ca="1" si="6"/>
        <v>0.1109103488288148</v>
      </c>
      <c r="L27" s="12">
        <f t="shared" ca="1" si="7"/>
        <v>0.15614975399827141</v>
      </c>
      <c r="O27" s="2" t="s">
        <v>10</v>
      </c>
      <c r="P27">
        <f t="shared" ca="1" si="8"/>
        <v>1.4242082499667219</v>
      </c>
      <c r="Q27">
        <f t="shared" ca="1" si="9"/>
        <v>0.70214450732423861</v>
      </c>
      <c r="R27" s="12">
        <f t="shared" ca="1" si="10"/>
        <v>0.15903505204671492</v>
      </c>
      <c r="S27" s="12">
        <f t="shared" ca="1" si="11"/>
        <v>0.1116655882666253</v>
      </c>
    </row>
    <row r="28" spans="1:19" x14ac:dyDescent="0.25">
      <c r="A28" s="2" t="s">
        <v>11</v>
      </c>
      <c r="B28">
        <f t="shared" ca="1" si="0"/>
        <v>0.2756485511109335</v>
      </c>
      <c r="C28">
        <f t="shared" ca="1" si="1"/>
        <v>3.6278079314030371</v>
      </c>
      <c r="D28" s="12">
        <f t="shared" ca="1" si="2"/>
        <v>6.6597647008127425E-2</v>
      </c>
      <c r="E28" s="12">
        <f t="shared" ca="1" si="3"/>
        <v>0.24160347202886442</v>
      </c>
      <c r="H28" s="2" t="s">
        <v>11</v>
      </c>
      <c r="I28">
        <f t="shared" ca="1" si="4"/>
        <v>0.31237584445536426</v>
      </c>
      <c r="J28">
        <f t="shared" ca="1" si="5"/>
        <v>3.2012718580834156</v>
      </c>
      <c r="K28" s="12">
        <f t="shared" ca="1" si="6"/>
        <v>7.2218213307316925E-2</v>
      </c>
      <c r="L28" s="12">
        <f t="shared" ca="1" si="7"/>
        <v>0.23119013390177889</v>
      </c>
      <c r="O28" s="2" t="s">
        <v>11</v>
      </c>
      <c r="P28">
        <f t="shared" ca="1" si="8"/>
        <v>0.95198257071166836</v>
      </c>
      <c r="Q28">
        <f t="shared" ca="1" si="9"/>
        <v>1.0504393995915655</v>
      </c>
      <c r="R28" s="12">
        <f t="shared" ca="1" si="10"/>
        <v>6.3981385875348004E-2</v>
      </c>
      <c r="S28" s="12">
        <f t="shared" ca="1" si="11"/>
        <v>6.7208568563936824E-2</v>
      </c>
    </row>
    <row r="29" spans="1:19" x14ac:dyDescent="0.25">
      <c r="A29" s="2" t="s">
        <v>12</v>
      </c>
      <c r="B29">
        <f t="shared" ca="1" si="0"/>
        <v>1.5954365467792615</v>
      </c>
      <c r="C29">
        <f t="shared" ca="1" si="1"/>
        <v>0.62678769771114951</v>
      </c>
      <c r="D29" s="12">
        <f t="shared" ca="1" si="2"/>
        <v>5.3988468359391695E-2</v>
      </c>
      <c r="E29" s="12">
        <f t="shared" ca="1" si="3"/>
        <v>3.3839307785934358E-2</v>
      </c>
      <c r="H29" s="2" t="s">
        <v>12</v>
      </c>
      <c r="I29">
        <f t="shared" ca="1" si="4"/>
        <v>1.9003992142990433</v>
      </c>
      <c r="J29">
        <f t="shared" ca="1" si="5"/>
        <v>0.52620522702586314</v>
      </c>
      <c r="K29" s="12">
        <f t="shared" ca="1" si="6"/>
        <v>4.8260822750288021E-2</v>
      </c>
      <c r="L29" s="12">
        <f t="shared" ca="1" si="7"/>
        <v>2.5395097191770251E-2</v>
      </c>
      <c r="O29" s="2" t="s">
        <v>12</v>
      </c>
      <c r="P29">
        <f t="shared" ca="1" si="8"/>
        <v>0.64970302567952953</v>
      </c>
      <c r="Q29">
        <f t="shared" ca="1" si="9"/>
        <v>1.5391647575507166</v>
      </c>
      <c r="R29" s="12">
        <f t="shared" ca="1" si="10"/>
        <v>3.714388498410022E-2</v>
      </c>
      <c r="S29" s="12">
        <f t="shared" ca="1" si="11"/>
        <v>5.7170558726044318E-2</v>
      </c>
    </row>
    <row r="33" spans="1:5" x14ac:dyDescent="0.25">
      <c r="A33" s="11" t="s">
        <v>19</v>
      </c>
    </row>
    <row r="34" spans="1:5" x14ac:dyDescent="0.25">
      <c r="B34" s="11" t="s">
        <v>59</v>
      </c>
      <c r="C34" s="11" t="s">
        <v>60</v>
      </c>
      <c r="D34" s="11" t="s">
        <v>61</v>
      </c>
      <c r="E34" s="11" t="s">
        <v>62</v>
      </c>
    </row>
    <row r="35" spans="1:5" x14ac:dyDescent="0.25">
      <c r="A35" s="11" t="s">
        <v>2</v>
      </c>
      <c r="B35">
        <f ca="1">SUMIF($B$2:$B$122, A35,$C$2:$C$122)/SUMIF($A$2:$A$122, A35,$C$2:$C$122)</f>
        <v>0.7696816525261001</v>
      </c>
      <c r="C35">
        <f ca="1">1/B35</f>
        <v>1.2992384536100006</v>
      </c>
      <c r="D35" s="12">
        <f ca="1">SUMIF($B$2:$B$122, A35,$C$2:$C$122)/SUM($C$2:$C$122)</f>
        <v>9.6753106555935373E-2</v>
      </c>
      <c r="E35" s="12">
        <f ca="1">SUMIF($A$2:$A$122, A35,$C$2:$C$122)/SUM($C$2:$C$122)</f>
        <v>0.12570535654369708</v>
      </c>
    </row>
    <row r="36" spans="1:5" x14ac:dyDescent="0.25">
      <c r="A36" s="11" t="s">
        <v>3</v>
      </c>
      <c r="B36">
        <f t="shared" ref="B36:B45" ca="1" si="12">SUMIF($B$2:$B$122, A36,$C$2:$C$122)/SUMIF($A$2:$A$122, A36,$C$2:$C$122)</f>
        <v>0.80332728667807574</v>
      </c>
      <c r="C36">
        <f t="shared" ref="C36:C45" ca="1" si="13">1/B36</f>
        <v>1.2448226477345323</v>
      </c>
      <c r="D36" s="12">
        <f t="shared" ref="D36:D45" ca="1" si="14">SUMIF($B$2:$B$122, A36,$C$2:$C$122)/SUM($C$2:$C$122)</f>
        <v>0.17829350334163602</v>
      </c>
      <c r="E36" s="12">
        <f t="shared" ref="E36:E45" ca="1" si="15">SUMIF($A$2:$A$122, A36,$C$2:$C$122)/SUM($C$2:$C$122)</f>
        <v>0.22194379090360106</v>
      </c>
    </row>
    <row r="37" spans="1:5" x14ac:dyDescent="0.25">
      <c r="A37" s="2" t="s">
        <v>4</v>
      </c>
      <c r="B37">
        <f t="shared" ca="1" si="12"/>
        <v>0.67548371725360878</v>
      </c>
      <c r="C37">
        <f t="shared" ca="1" si="13"/>
        <v>1.4804205852153092</v>
      </c>
      <c r="D37" s="12">
        <f t="shared" ca="1" si="14"/>
        <v>0.27976563888992317</v>
      </c>
      <c r="E37" s="12">
        <f t="shared" ca="1" si="15"/>
        <v>0.41417081084855495</v>
      </c>
    </row>
    <row r="38" spans="1:5" x14ac:dyDescent="0.25">
      <c r="A38" s="2" t="s">
        <v>5</v>
      </c>
      <c r="B38">
        <f t="shared" ca="1" si="12"/>
        <v>2.0498582259600093</v>
      </c>
      <c r="C38">
        <f t="shared" ca="1" si="13"/>
        <v>0.48783861602510115</v>
      </c>
      <c r="D38" s="12">
        <f t="shared" ca="1" si="14"/>
        <v>4.7702544646209197E-2</v>
      </c>
      <c r="E38" s="12">
        <f t="shared" ca="1" si="15"/>
        <v>2.3271143361082294E-2</v>
      </c>
    </row>
    <row r="39" spans="1:5" x14ac:dyDescent="0.25">
      <c r="A39" s="2" t="s">
        <v>6</v>
      </c>
      <c r="B39">
        <f t="shared" ca="1" si="12"/>
        <v>1.254757458936913</v>
      </c>
      <c r="C39">
        <f t="shared" ca="1" si="13"/>
        <v>0.79696677065163257</v>
      </c>
      <c r="D39" s="12">
        <f t="shared" ca="1" si="14"/>
        <v>5.7000071917919651E-3</v>
      </c>
      <c r="E39" s="12">
        <f t="shared" ca="1" si="15"/>
        <v>4.5427163243335232E-3</v>
      </c>
    </row>
    <row r="40" spans="1:5" x14ac:dyDescent="0.25">
      <c r="A40" s="2" t="s">
        <v>7</v>
      </c>
      <c r="B40">
        <f t="shared" ca="1" si="12"/>
        <v>2.5753231497662497</v>
      </c>
      <c r="C40">
        <f t="shared" ca="1" si="13"/>
        <v>0.38830078473482654</v>
      </c>
      <c r="D40" s="12">
        <f t="shared" ca="1" si="14"/>
        <v>6.7621748396695117E-2</v>
      </c>
      <c r="E40" s="12">
        <f t="shared" ca="1" si="15"/>
        <v>2.625757796757771E-2</v>
      </c>
    </row>
    <row r="41" spans="1:5" x14ac:dyDescent="0.25">
      <c r="A41" s="2" t="s">
        <v>8</v>
      </c>
      <c r="B41">
        <f t="shared" ca="1" si="12"/>
        <v>0.6405874898917624</v>
      </c>
      <c r="C41">
        <f t="shared" ca="1" si="13"/>
        <v>1.5610670139202472</v>
      </c>
      <c r="D41" s="12">
        <f t="shared" ca="1" si="14"/>
        <v>2.1332505690003393E-2</v>
      </c>
      <c r="E41" s="12">
        <f t="shared" ca="1" si="15"/>
        <v>3.3301470956930278E-2</v>
      </c>
    </row>
    <row r="42" spans="1:5" x14ac:dyDescent="0.25">
      <c r="A42" s="2" t="s">
        <v>9</v>
      </c>
      <c r="B42">
        <f t="shared" ca="1" si="12"/>
        <v>1.8518890984935272</v>
      </c>
      <c r="C42">
        <f t="shared" ca="1" si="13"/>
        <v>0.53998913909773483</v>
      </c>
      <c r="D42" s="12">
        <f t="shared" ca="1" si="14"/>
        <v>2.3278912100886028E-2</v>
      </c>
      <c r="E42" s="12">
        <f t="shared" ca="1" si="15"/>
        <v>1.2570359704489286E-2</v>
      </c>
    </row>
    <row r="43" spans="1:5" x14ac:dyDescent="0.25">
      <c r="A43" s="2" t="s">
        <v>10</v>
      </c>
      <c r="B43">
        <f t="shared" ca="1" si="12"/>
        <v>2.1896570598793534</v>
      </c>
      <c r="C43">
        <f t="shared" ca="1" si="13"/>
        <v>0.45669251972046176</v>
      </c>
      <c r="D43" s="12">
        <f t="shared" ca="1" si="14"/>
        <v>0.21004163356894351</v>
      </c>
      <c r="E43" s="12">
        <f t="shared" ca="1" si="15"/>
        <v>9.5924442880802749E-2</v>
      </c>
    </row>
    <row r="44" spans="1:5" x14ac:dyDescent="0.25">
      <c r="A44" s="2" t="s">
        <v>11</v>
      </c>
      <c r="B44">
        <f t="shared" ca="1" si="12"/>
        <v>1.3198287296928159</v>
      </c>
      <c r="C44">
        <f t="shared" ca="1" si="13"/>
        <v>0.75767406596213838</v>
      </c>
      <c r="D44" s="12">
        <f t="shared" ca="1" si="14"/>
        <v>4.5194936399374698E-2</v>
      </c>
      <c r="E44" s="12">
        <f t="shared" ca="1" si="15"/>
        <v>3.4243031222614476E-2</v>
      </c>
    </row>
    <row r="45" spans="1:5" x14ac:dyDescent="0.25">
      <c r="A45" s="2" t="s">
        <v>12</v>
      </c>
      <c r="B45">
        <f t="shared" ca="1" si="12"/>
        <v>3.0133301983027816</v>
      </c>
      <c r="C45">
        <f t="shared" ca="1" si="13"/>
        <v>0.33185875234092727</v>
      </c>
      <c r="D45" s="12">
        <f t="shared" ca="1" si="14"/>
        <v>2.4315463218601781E-2</v>
      </c>
      <c r="E45" s="12">
        <f t="shared" ca="1" si="15"/>
        <v>8.0692992863168941E-3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D7B1-695A-4818-8BDF-BF88AE115792}">
  <dimension ref="A1:AC166"/>
  <sheetViews>
    <sheetView tabSelected="1" workbookViewId="0">
      <selection activeCell="D5" sqref="D5"/>
    </sheetView>
  </sheetViews>
  <sheetFormatPr baseColWidth="10" defaultRowHeight="15.75" x14ac:dyDescent="0.25"/>
  <cols>
    <col min="2" max="3" width="12.375" bestFit="1" customWidth="1"/>
    <col min="4" max="9" width="11.25" bestFit="1" customWidth="1"/>
    <col min="10" max="11" width="11.375" bestFit="1" customWidth="1"/>
    <col min="12" max="17" width="11.25" bestFit="1" customWidth="1"/>
    <col min="18" max="18" width="11.375" bestFit="1" customWidth="1"/>
    <col min="19" max="19" width="12.375" bestFit="1" customWidth="1"/>
    <col min="20" max="21" width="11.25" bestFit="1" customWidth="1"/>
    <col min="22" max="23" width="12.375" bestFit="1" customWidth="1"/>
    <col min="24" max="25" width="11.25" bestFit="1" customWidth="1"/>
    <col min="26" max="27" width="11.375" bestFit="1" customWidth="1"/>
    <col min="28" max="29" width="11.25" bestFit="1" customWidth="1"/>
  </cols>
  <sheetData>
    <row r="1" spans="1:29" x14ac:dyDescent="0.25">
      <c r="B1" s="16" t="s">
        <v>13</v>
      </c>
      <c r="C1" s="16"/>
      <c r="D1" s="16"/>
      <c r="E1" s="16"/>
      <c r="F1" s="19" t="s">
        <v>14</v>
      </c>
      <c r="G1" s="19"/>
      <c r="H1" s="19"/>
      <c r="I1" s="19"/>
      <c r="J1" s="19" t="s">
        <v>230</v>
      </c>
      <c r="K1" s="19"/>
      <c r="L1" s="19"/>
      <c r="M1" s="19"/>
      <c r="N1" s="19" t="s">
        <v>231</v>
      </c>
      <c r="O1" s="19"/>
      <c r="P1" s="19"/>
      <c r="Q1" s="19"/>
      <c r="R1" s="19" t="s">
        <v>17</v>
      </c>
      <c r="S1" s="19"/>
      <c r="T1" s="19"/>
      <c r="U1" s="19"/>
      <c r="V1" s="19" t="s">
        <v>18</v>
      </c>
      <c r="W1" s="19"/>
      <c r="X1" s="19"/>
      <c r="Y1" s="19"/>
      <c r="Z1" s="19" t="s">
        <v>19</v>
      </c>
      <c r="AA1" s="15"/>
      <c r="AB1" s="15"/>
      <c r="AC1" s="15"/>
    </row>
    <row r="2" spans="1:29" x14ac:dyDescent="0.25">
      <c r="A2" s="21" t="s">
        <v>227</v>
      </c>
      <c r="B2" s="17" t="s">
        <v>28</v>
      </c>
      <c r="C2" s="17" t="s">
        <v>27</v>
      </c>
      <c r="D2" s="17" t="s">
        <v>228</v>
      </c>
      <c r="E2" s="17" t="s">
        <v>229</v>
      </c>
      <c r="F2" s="17" t="s">
        <v>28</v>
      </c>
      <c r="G2" s="17" t="s">
        <v>27</v>
      </c>
      <c r="H2" s="17" t="s">
        <v>228</v>
      </c>
      <c r="I2" s="17" t="s">
        <v>229</v>
      </c>
      <c r="J2" s="17" t="s">
        <v>28</v>
      </c>
      <c r="K2" s="17" t="s">
        <v>27</v>
      </c>
      <c r="L2" s="17" t="s">
        <v>228</v>
      </c>
      <c r="M2" s="17" t="s">
        <v>229</v>
      </c>
      <c r="N2" s="17" t="s">
        <v>28</v>
      </c>
      <c r="O2" s="17" t="s">
        <v>27</v>
      </c>
      <c r="P2" s="17" t="s">
        <v>228</v>
      </c>
      <c r="Q2" s="17" t="s">
        <v>229</v>
      </c>
      <c r="R2" s="17" t="s">
        <v>28</v>
      </c>
      <c r="S2" s="17" t="s">
        <v>27</v>
      </c>
      <c r="T2" s="17" t="s">
        <v>228</v>
      </c>
      <c r="U2" s="17" t="s">
        <v>229</v>
      </c>
      <c r="V2" s="17" t="s">
        <v>28</v>
      </c>
      <c r="W2" s="17" t="s">
        <v>27</v>
      </c>
      <c r="X2" s="17" t="s">
        <v>228</v>
      </c>
      <c r="Y2" s="17" t="s">
        <v>229</v>
      </c>
      <c r="Z2" s="17" t="s">
        <v>28</v>
      </c>
      <c r="AA2" s="17" t="s">
        <v>27</v>
      </c>
      <c r="AB2" s="17" t="s">
        <v>228</v>
      </c>
      <c r="AC2" s="17" t="s">
        <v>229</v>
      </c>
    </row>
    <row r="3" spans="1:29" x14ac:dyDescent="0.25">
      <c r="A3" s="14" t="s">
        <v>63</v>
      </c>
      <c r="B3" s="4">
        <v>25568.71799573701</v>
      </c>
      <c r="C3" s="4">
        <v>4204.0426472054769</v>
      </c>
      <c r="D3" s="4">
        <v>6.2734614482577514E-2</v>
      </c>
      <c r="E3" s="4">
        <v>1.0314908818843499E-2</v>
      </c>
      <c r="F3" s="20">
        <v>2.2169732952888291E-5</v>
      </c>
      <c r="G3" s="20">
        <v>6.7227400720101793E-5</v>
      </c>
      <c r="H3" s="4">
        <v>0.1361042928417793</v>
      </c>
      <c r="I3" s="4">
        <v>0.41272205912648657</v>
      </c>
      <c r="J3" s="4">
        <v>2224.1297131052138</v>
      </c>
      <c r="K3" s="4">
        <v>1319.7280878854369</v>
      </c>
      <c r="L3" s="4">
        <v>0.14127736235425609</v>
      </c>
      <c r="M3" s="4">
        <v>8.3829509665140842E-2</v>
      </c>
      <c r="N3" s="4">
        <v>188.6548919447855</v>
      </c>
      <c r="O3" s="4">
        <v>1002.757359142998</v>
      </c>
      <c r="P3" s="4">
        <v>8.1901251901852656E-2</v>
      </c>
      <c r="Q3" s="4">
        <v>0.43532972943868192</v>
      </c>
      <c r="R3" s="4">
        <v>2504.379770061927</v>
      </c>
      <c r="S3" s="4">
        <v>25168.546474291841</v>
      </c>
      <c r="T3" s="4">
        <v>4.1692947103501903E-2</v>
      </c>
      <c r="U3" s="4">
        <v>0.41900629024755759</v>
      </c>
      <c r="V3" s="4">
        <v>33273.146725821331</v>
      </c>
      <c r="W3" s="4">
        <v>32269.82962564511</v>
      </c>
      <c r="X3" s="4">
        <v>0.32730268954686348</v>
      </c>
      <c r="Y3" s="4">
        <v>0.31743321768530391</v>
      </c>
      <c r="Z3" s="4">
        <v>474.11000737039922</v>
      </c>
      <c r="AA3" s="4">
        <v>963.19983636805011</v>
      </c>
      <c r="AB3" s="4">
        <v>5.2422757056799163E-2</v>
      </c>
      <c r="AC3" s="4">
        <v>0.106501846057054</v>
      </c>
    </row>
    <row r="4" spans="1:29" x14ac:dyDescent="0.25">
      <c r="A4" s="14" t="s">
        <v>64</v>
      </c>
      <c r="B4" s="4">
        <v>10662.542948817319</v>
      </c>
      <c r="C4" s="4">
        <v>28746.203259428621</v>
      </c>
      <c r="D4" s="4">
        <v>2.616128510664887E-2</v>
      </c>
      <c r="E4" s="4">
        <v>7.053079390287538E-2</v>
      </c>
      <c r="F4" s="20">
        <v>1.419674392110111E-5</v>
      </c>
      <c r="G4" s="20">
        <v>1.8992031264724761E-4</v>
      </c>
      <c r="H4" s="4">
        <v>8.7156565942557412E-2</v>
      </c>
      <c r="I4" s="4">
        <v>1.165957655154148</v>
      </c>
      <c r="J4" s="4">
        <v>568.5143762654277</v>
      </c>
      <c r="K4" s="4">
        <v>14597.05645704667</v>
      </c>
      <c r="L4" s="4">
        <v>3.6112197533262863E-2</v>
      </c>
      <c r="M4" s="4">
        <v>0.9272092460419199</v>
      </c>
      <c r="N4" s="4">
        <v>96.80616269622216</v>
      </c>
      <c r="O4" s="4">
        <v>391.6276828743886</v>
      </c>
      <c r="P4" s="4">
        <v>4.202671785980247E-2</v>
      </c>
      <c r="Q4" s="4">
        <v>0.1700183715152303</v>
      </c>
      <c r="R4" s="4">
        <v>2116.2266670452682</v>
      </c>
      <c r="S4" s="4">
        <v>2058.7373460586991</v>
      </c>
      <c r="T4" s="4">
        <v>3.5230969177632653E-2</v>
      </c>
      <c r="U4" s="4">
        <v>3.4273886211397868E-2</v>
      </c>
      <c r="V4" s="4">
        <v>6581.6746604157042</v>
      </c>
      <c r="W4" s="4">
        <v>3725.2575935948762</v>
      </c>
      <c r="X4" s="4">
        <v>6.4742894197162046E-2</v>
      </c>
      <c r="Y4" s="4">
        <v>3.6644770621958117E-2</v>
      </c>
      <c r="Z4" s="4">
        <v>423.61751358083501</v>
      </c>
      <c r="AA4" s="4">
        <v>286.34850340346901</v>
      </c>
      <c r="AB4" s="4">
        <v>4.6839757976473211E-2</v>
      </c>
      <c r="AC4" s="4">
        <v>3.1661803788441391E-2</v>
      </c>
    </row>
    <row r="5" spans="1:29" x14ac:dyDescent="0.25">
      <c r="A5" s="14" t="s">
        <v>65</v>
      </c>
      <c r="B5" s="4">
        <v>40686.340902599542</v>
      </c>
      <c r="C5" s="4">
        <v>8084.499915778486</v>
      </c>
      <c r="D5" s="4">
        <v>9.9826745778058459E-2</v>
      </c>
      <c r="E5" s="4">
        <v>1.983587857574063E-2</v>
      </c>
      <c r="F5" s="20">
        <v>5.3898619605201278E-5</v>
      </c>
      <c r="G5" s="20">
        <v>6.5460395235271499E-5</v>
      </c>
      <c r="H5" s="4">
        <v>0.33089408528749398</v>
      </c>
      <c r="I5" s="4">
        <v>0.40187406955117511</v>
      </c>
      <c r="J5" s="4">
        <v>2126.2054618967759</v>
      </c>
      <c r="K5" s="4">
        <v>936.27568311479547</v>
      </c>
      <c r="L5" s="4">
        <v>0.1350571856083915</v>
      </c>
      <c r="M5" s="4">
        <v>5.9472502061137793E-2</v>
      </c>
      <c r="N5" s="4">
        <v>421.81293837799433</v>
      </c>
      <c r="O5" s="4">
        <v>234.46190286599949</v>
      </c>
      <c r="P5" s="4">
        <v>0.18312277707417091</v>
      </c>
      <c r="Q5" s="4">
        <v>0.1017875718464596</v>
      </c>
      <c r="R5" s="4">
        <v>9571.70847769588</v>
      </c>
      <c r="S5" s="4">
        <v>495.78699067377869</v>
      </c>
      <c r="T5" s="4">
        <v>0.15934992768323111</v>
      </c>
      <c r="U5" s="4">
        <v>8.2538682926092764E-3</v>
      </c>
      <c r="V5" s="4">
        <v>16867.57799549841</v>
      </c>
      <c r="W5" s="4">
        <v>6419.0089033535123</v>
      </c>
      <c r="X5" s="4">
        <v>0.165923700861865</v>
      </c>
      <c r="Y5" s="4">
        <v>6.3142776834582859E-2</v>
      </c>
      <c r="Z5" s="4">
        <v>497.09401183849872</v>
      </c>
      <c r="AA5" s="4">
        <v>380.61147487446328</v>
      </c>
      <c r="AB5" s="4">
        <v>5.4964118478605738E-2</v>
      </c>
      <c r="AC5" s="4">
        <v>4.2084542764746838E-2</v>
      </c>
    </row>
    <row r="6" spans="1:29" x14ac:dyDescent="0.25">
      <c r="A6" s="14" t="s">
        <v>66</v>
      </c>
      <c r="B6" s="4">
        <v>28730.613642955272</v>
      </c>
      <c r="C6" s="4">
        <v>321.7015222770429</v>
      </c>
      <c r="D6" s="4">
        <v>7.0492543702785182E-2</v>
      </c>
      <c r="E6" s="4">
        <v>7.8931689034520466E-4</v>
      </c>
      <c r="F6" s="20">
        <v>2.512699519919323E-5</v>
      </c>
      <c r="G6" s="20">
        <v>8.3939630763718841E-5</v>
      </c>
      <c r="H6" s="4">
        <v>0.15425949965623881</v>
      </c>
      <c r="I6" s="4">
        <v>0.51532168252877486</v>
      </c>
      <c r="J6" s="4">
        <v>1198.4683802713751</v>
      </c>
      <c r="K6" s="4">
        <v>717.74103769887222</v>
      </c>
      <c r="L6" s="4">
        <v>7.6127057982300225E-2</v>
      </c>
      <c r="M6" s="4">
        <v>4.5591118207729528E-2</v>
      </c>
      <c r="N6" s="4">
        <v>485.221106351316</v>
      </c>
      <c r="O6" s="4">
        <v>34.216030925827653</v>
      </c>
      <c r="P6" s="4">
        <v>0.21065033432054189</v>
      </c>
      <c r="Q6" s="4">
        <v>1.485429685416249E-2</v>
      </c>
      <c r="R6" s="4">
        <v>7891.9328390832197</v>
      </c>
      <c r="S6" s="4">
        <v>249.69638849272991</v>
      </c>
      <c r="T6" s="4">
        <v>0.13138500092426081</v>
      </c>
      <c r="U6" s="4">
        <v>4.1569487350975607E-3</v>
      </c>
      <c r="V6" s="4">
        <v>11172.31639453304</v>
      </c>
      <c r="W6" s="4">
        <v>11198.761517247631</v>
      </c>
      <c r="X6" s="4">
        <v>0.1099003119401811</v>
      </c>
      <c r="Y6" s="4">
        <v>0.1101604484358725</v>
      </c>
      <c r="Z6" s="4">
        <v>704.15659846193114</v>
      </c>
      <c r="AA6" s="4">
        <v>532.97893233695333</v>
      </c>
      <c r="AB6" s="4">
        <v>7.7859209291637879E-2</v>
      </c>
      <c r="AC6" s="4">
        <v>5.8931945438696377E-2</v>
      </c>
    </row>
    <row r="7" spans="1:29" x14ac:dyDescent="0.25">
      <c r="A7" s="14" t="s">
        <v>67</v>
      </c>
      <c r="B7" s="4">
        <v>14876.88617750716</v>
      </c>
      <c r="C7" s="4">
        <v>18458.60813552828</v>
      </c>
      <c r="D7" s="4">
        <v>3.6501467113161622E-2</v>
      </c>
      <c r="E7" s="4">
        <v>4.528946916542332E-2</v>
      </c>
      <c r="F7" s="20">
        <v>6.8802510795385699E-6</v>
      </c>
      <c r="G7" s="20">
        <v>5.7464668434365041E-6</v>
      </c>
      <c r="H7" s="4">
        <v>4.2239196554349413E-2</v>
      </c>
      <c r="I7" s="4">
        <v>3.5278675107485322E-2</v>
      </c>
      <c r="J7" s="4">
        <v>809.53106579787084</v>
      </c>
      <c r="K7" s="4">
        <v>1329.991090759858</v>
      </c>
      <c r="L7" s="4">
        <v>5.142164732832858E-2</v>
      </c>
      <c r="M7" s="4">
        <v>8.4481418574674741E-2</v>
      </c>
      <c r="N7" s="4">
        <v>1881.900098391269</v>
      </c>
      <c r="O7" s="4">
        <v>935.27267114039091</v>
      </c>
      <c r="P7" s="4">
        <v>0.81699431392202959</v>
      </c>
      <c r="Q7" s="4">
        <v>0.40603242166869769</v>
      </c>
      <c r="R7" s="4">
        <v>63591.203508801147</v>
      </c>
      <c r="S7" s="4">
        <v>19790.975875883651</v>
      </c>
      <c r="T7" s="4">
        <v>1.0586671861172681</v>
      </c>
      <c r="U7" s="4">
        <v>0.32948042472787409</v>
      </c>
      <c r="V7" s="4">
        <v>9347.022121414926</v>
      </c>
      <c r="W7" s="4">
        <v>4943.2014995062718</v>
      </c>
      <c r="X7" s="4">
        <v>9.1945180442431315E-2</v>
      </c>
      <c r="Y7" s="4">
        <v>4.8625492475736193E-2</v>
      </c>
      <c r="Z7" s="4">
        <v>247.73939845765739</v>
      </c>
      <c r="AA7" s="4">
        <v>3.2593229901614929</v>
      </c>
      <c r="AB7" s="4">
        <v>2.7392761377840059E-2</v>
      </c>
      <c r="AC7" s="4">
        <v>3.6038618596251099E-4</v>
      </c>
    </row>
    <row r="8" spans="1:29" x14ac:dyDescent="0.25">
      <c r="A8" s="14" t="s">
        <v>68</v>
      </c>
      <c r="B8" s="4">
        <v>21524.827538283429</v>
      </c>
      <c r="C8" s="4">
        <v>52.425171336774042</v>
      </c>
      <c r="D8" s="4">
        <v>5.2812650115790671E-2</v>
      </c>
      <c r="E8" s="4">
        <v>1.286287765207444E-4</v>
      </c>
      <c r="F8" s="20">
        <v>1.6518634834691021E-5</v>
      </c>
      <c r="G8" s="20">
        <v>6.4163391738489265E-7</v>
      </c>
      <c r="H8" s="4">
        <v>0.1014111048457306</v>
      </c>
      <c r="I8" s="4">
        <v>3.939115133887716E-3</v>
      </c>
      <c r="J8" s="4">
        <v>852.87723766920612</v>
      </c>
      <c r="K8" s="4">
        <v>469.9955734189906</v>
      </c>
      <c r="L8" s="4">
        <v>5.4175008696621577E-2</v>
      </c>
      <c r="M8" s="4">
        <v>2.9854254695472451E-2</v>
      </c>
      <c r="N8" s="4">
        <v>231.58594147245799</v>
      </c>
      <c r="O8" s="4">
        <v>74.679593751129872</v>
      </c>
      <c r="P8" s="4">
        <v>0.1005390230485764</v>
      </c>
      <c r="Q8" s="4">
        <v>3.2420851411207562E-2</v>
      </c>
      <c r="R8" s="4">
        <v>4585.2699749598123</v>
      </c>
      <c r="S8" s="4">
        <v>441.3404198598069</v>
      </c>
      <c r="T8" s="4">
        <v>7.6335634398032093E-2</v>
      </c>
      <c r="U8" s="4">
        <v>7.3474410709671416E-3</v>
      </c>
      <c r="V8" s="4">
        <v>6836.0817123380884</v>
      </c>
      <c r="W8" s="4">
        <v>27887.097472642999</v>
      </c>
      <c r="X8" s="4">
        <v>6.7245456188669311E-2</v>
      </c>
      <c r="Y8" s="4">
        <v>0.2743209736567615</v>
      </c>
      <c r="Z8" s="4">
        <v>477.40567352291868</v>
      </c>
      <c r="AA8" s="4">
        <v>149.78706263045819</v>
      </c>
      <c r="AB8" s="4">
        <v>5.2787161737923867E-2</v>
      </c>
      <c r="AC8" s="4">
        <v>1.6562086166625641E-2</v>
      </c>
    </row>
    <row r="9" spans="1:29" x14ac:dyDescent="0.25">
      <c r="A9" s="14" t="s">
        <v>69</v>
      </c>
      <c r="B9" s="4">
        <v>12404.452025891231</v>
      </c>
      <c r="C9" s="4">
        <v>1099.138094239697</v>
      </c>
      <c r="D9" s="4">
        <v>3.0435179262474511E-2</v>
      </c>
      <c r="E9" s="4">
        <v>2.6968111821929772E-3</v>
      </c>
      <c r="F9" s="20">
        <v>6.3681207784168773E-6</v>
      </c>
      <c r="G9" s="20">
        <v>2.227612053128777E-6</v>
      </c>
      <c r="H9" s="4">
        <v>3.9095129252089272E-2</v>
      </c>
      <c r="I9" s="4">
        <v>1.367574268310782E-2</v>
      </c>
      <c r="J9" s="4">
        <v>684.11015547484863</v>
      </c>
      <c r="K9" s="4">
        <v>55.236965684421001</v>
      </c>
      <c r="L9" s="4">
        <v>4.3454874846444988E-2</v>
      </c>
      <c r="M9" s="4">
        <v>3.508668028832001E-3</v>
      </c>
      <c r="N9" s="4">
        <v>120.779439806133</v>
      </c>
      <c r="O9" s="4">
        <v>34.994639389423078</v>
      </c>
      <c r="P9" s="4">
        <v>5.2434300654243718E-2</v>
      </c>
      <c r="Q9" s="4">
        <v>1.5192316225155029E-2</v>
      </c>
      <c r="R9" s="4">
        <v>3486.9552207640768</v>
      </c>
      <c r="S9" s="4">
        <v>965.91922184515454</v>
      </c>
      <c r="T9" s="4">
        <v>5.8050876033071262E-2</v>
      </c>
      <c r="U9" s="4">
        <v>1.6080635814132101E-2</v>
      </c>
      <c r="V9" s="4">
        <v>3983.245445739366</v>
      </c>
      <c r="W9" s="4">
        <v>1921.3333651391649</v>
      </c>
      <c r="X9" s="4">
        <v>3.9182556379738019E-2</v>
      </c>
      <c r="Y9" s="4">
        <v>1.8899852878602411E-2</v>
      </c>
      <c r="Z9" s="4">
        <v>332.12643684459982</v>
      </c>
      <c r="AA9" s="4">
        <v>19.338754356324351</v>
      </c>
      <c r="AB9" s="4">
        <v>3.6723509818771753E-2</v>
      </c>
      <c r="AC9" s="4">
        <v>2.138302937382805E-3</v>
      </c>
    </row>
    <row r="10" spans="1:29" x14ac:dyDescent="0.25">
      <c r="A10" s="14" t="s">
        <v>70</v>
      </c>
      <c r="B10" s="4">
        <v>129306.90222455779</v>
      </c>
      <c r="C10" s="4">
        <v>94598.258292732949</v>
      </c>
      <c r="D10" s="4">
        <v>0.31726341001322278</v>
      </c>
      <c r="E10" s="4">
        <v>0.23210335636332441</v>
      </c>
      <c r="F10" s="20">
        <v>6.9397414704470376E-5</v>
      </c>
      <c r="G10" s="20">
        <v>1.881151878709008E-7</v>
      </c>
      <c r="H10" s="4">
        <v>0.42604419608803168</v>
      </c>
      <c r="I10" s="4">
        <v>1.1548756438508111E-3</v>
      </c>
      <c r="J10" s="4">
        <v>7813.710159378531</v>
      </c>
      <c r="K10" s="4">
        <v>167.63872254259439</v>
      </c>
      <c r="L10" s="4">
        <v>0.49632912820378838</v>
      </c>
      <c r="M10" s="4">
        <v>1.0648460118897011E-2</v>
      </c>
      <c r="N10" s="4">
        <v>2043.673297671229</v>
      </c>
      <c r="O10" s="4">
        <v>2598.501276356345</v>
      </c>
      <c r="P10" s="4">
        <v>0.88722534481983606</v>
      </c>
      <c r="Q10" s="4">
        <v>1.1280942964597691</v>
      </c>
      <c r="R10" s="4">
        <v>58948.806368136888</v>
      </c>
      <c r="S10" s="4">
        <v>32277.067232185669</v>
      </c>
      <c r="T10" s="4">
        <v>0.98138049791886528</v>
      </c>
      <c r="U10" s="4">
        <v>0.53734903661772337</v>
      </c>
      <c r="V10" s="4">
        <v>86858.400248966645</v>
      </c>
      <c r="W10" s="4">
        <v>150750.2697905344</v>
      </c>
      <c r="X10" s="4">
        <v>0.85441236578813495</v>
      </c>
      <c r="Y10" s="4">
        <v>1.4829065960889889</v>
      </c>
      <c r="Z10" s="4">
        <v>2418.6718337864941</v>
      </c>
      <c r="AA10" s="4">
        <v>7002.7768156859929</v>
      </c>
      <c r="AB10" s="4">
        <v>0.26743465434521968</v>
      </c>
      <c r="AC10" s="4">
        <v>0.77430314067361827</v>
      </c>
    </row>
    <row r="11" spans="1:29" x14ac:dyDescent="0.25">
      <c r="A11" s="14" t="s">
        <v>71</v>
      </c>
      <c r="B11" s="4">
        <v>83573.187485856659</v>
      </c>
      <c r="C11" s="4">
        <v>1268209.1889093581</v>
      </c>
      <c r="D11" s="4">
        <v>0.2050525841334527</v>
      </c>
      <c r="E11" s="4">
        <v>3.111638783092519</v>
      </c>
      <c r="F11" s="20">
        <v>3.5301219260621262E-5</v>
      </c>
      <c r="G11" s="20">
        <v>5.7673493467320816E-4</v>
      </c>
      <c r="H11" s="4">
        <v>0.21672103557266811</v>
      </c>
      <c r="I11" s="4">
        <v>3.540687684766191</v>
      </c>
      <c r="J11" s="4">
        <v>2850.203805905167</v>
      </c>
      <c r="K11" s="4">
        <v>65834.582568781407</v>
      </c>
      <c r="L11" s="4">
        <v>0.181045769721838</v>
      </c>
      <c r="M11" s="4">
        <v>4.1818317170114332</v>
      </c>
      <c r="N11" s="4">
        <v>425.4398513272892</v>
      </c>
      <c r="O11" s="4">
        <v>3189.9176876836332</v>
      </c>
      <c r="P11" s="4">
        <v>0.1846973384758081</v>
      </c>
      <c r="Q11" s="4">
        <v>1.384847482044707</v>
      </c>
      <c r="R11" s="4">
        <v>7675.2153265832803</v>
      </c>
      <c r="S11" s="4">
        <v>54051.008746781663</v>
      </c>
      <c r="T11" s="4">
        <v>0.1277770849471887</v>
      </c>
      <c r="U11" s="4">
        <v>0.89984189918398905</v>
      </c>
      <c r="V11" s="4">
        <v>32745.75865092668</v>
      </c>
      <c r="W11" s="4">
        <v>110662.1713605554</v>
      </c>
      <c r="X11" s="4">
        <v>0.32211485634400011</v>
      </c>
      <c r="Y11" s="4">
        <v>1.0885663029068851</v>
      </c>
      <c r="Z11" s="4">
        <v>3848.512760380188</v>
      </c>
      <c r="AA11" s="4">
        <v>1496.2177970539669</v>
      </c>
      <c r="AB11" s="4">
        <v>0.42553341277562379</v>
      </c>
      <c r="AC11" s="4">
        <v>0.16543810689433769</v>
      </c>
    </row>
    <row r="12" spans="1:29" x14ac:dyDescent="0.25">
      <c r="A12" s="14" t="s">
        <v>72</v>
      </c>
      <c r="B12" s="4">
        <v>11805.962084243251</v>
      </c>
      <c r="C12" s="4">
        <v>537.81570280388144</v>
      </c>
      <c r="D12" s="4">
        <v>2.8966742879889901E-2</v>
      </c>
      <c r="E12" s="4">
        <v>1.3195679495430039E-3</v>
      </c>
      <c r="F12" s="20">
        <v>6.4946339932119797E-6</v>
      </c>
      <c r="G12" s="20">
        <v>3.6791353231410492E-6</v>
      </c>
      <c r="H12" s="4">
        <v>3.9871818428788813E-2</v>
      </c>
      <c r="I12" s="4">
        <v>2.258692571937751E-2</v>
      </c>
      <c r="J12" s="4">
        <v>1412.4265885346499</v>
      </c>
      <c r="K12" s="4">
        <v>204.4064357897856</v>
      </c>
      <c r="L12" s="4">
        <v>8.9717745224761544E-2</v>
      </c>
      <c r="M12" s="4">
        <v>1.298395589360549E-2</v>
      </c>
      <c r="N12" s="4">
        <v>131.57187058333821</v>
      </c>
      <c r="O12" s="4">
        <v>181.22643358967011</v>
      </c>
      <c r="P12" s="4">
        <v>5.7119647440670523E-2</v>
      </c>
      <c r="Q12" s="4">
        <v>7.8676315444001388E-2</v>
      </c>
      <c r="R12" s="4">
        <v>4395.1725925083874</v>
      </c>
      <c r="S12" s="4">
        <v>7086.8814608597049</v>
      </c>
      <c r="T12" s="4">
        <v>7.3170890693499843E-2</v>
      </c>
      <c r="U12" s="4">
        <v>0.11798249507066801</v>
      </c>
      <c r="V12" s="4">
        <v>5313.6314058121015</v>
      </c>
      <c r="W12" s="4">
        <v>1640.8922884390761</v>
      </c>
      <c r="X12" s="4">
        <v>5.2269352962439182E-2</v>
      </c>
      <c r="Y12" s="4">
        <v>1.6141198296884561E-2</v>
      </c>
      <c r="Z12" s="4">
        <v>183.68125793072161</v>
      </c>
      <c r="AA12" s="4">
        <v>13.889666544354499</v>
      </c>
      <c r="AB12" s="4">
        <v>2.0309796905144731E-2</v>
      </c>
      <c r="AC12" s="4">
        <v>1.535792545053348E-3</v>
      </c>
    </row>
    <row r="13" spans="1:29" x14ac:dyDescent="0.25">
      <c r="A13" s="14" t="s">
        <v>73</v>
      </c>
      <c r="B13" s="4">
        <v>283858.07302373549</v>
      </c>
      <c r="C13" s="4">
        <v>222641.042201</v>
      </c>
      <c r="D13" s="4">
        <v>0.69646537545920018</v>
      </c>
      <c r="E13" s="4">
        <v>0.54626516483179677</v>
      </c>
      <c r="F13" s="20">
        <v>1.134317084198449E-4</v>
      </c>
      <c r="G13" s="20">
        <v>2.4823941181833361E-3</v>
      </c>
      <c r="H13" s="4">
        <v>0.69637927047319503</v>
      </c>
      <c r="I13" s="4">
        <v>15.23989922332005</v>
      </c>
      <c r="J13" s="4">
        <v>7627.7888694282237</v>
      </c>
      <c r="K13" s="4">
        <v>251878.54818357271</v>
      </c>
      <c r="L13" s="4">
        <v>0.484519354117812</v>
      </c>
      <c r="M13" s="4">
        <v>15.99939819666049</v>
      </c>
      <c r="N13" s="4">
        <v>2093.797116224157</v>
      </c>
      <c r="O13" s="4">
        <v>6352.7328229263139</v>
      </c>
      <c r="P13" s="4">
        <v>0.90898573198640675</v>
      </c>
      <c r="Q13" s="4">
        <v>2.7579288606411181</v>
      </c>
      <c r="R13" s="4">
        <v>48229.781237933363</v>
      </c>
      <c r="S13" s="4">
        <v>93257.777112755954</v>
      </c>
      <c r="T13" s="4">
        <v>0.80293002762791887</v>
      </c>
      <c r="U13" s="4">
        <v>1.5525566907355111</v>
      </c>
      <c r="V13" s="4">
        <v>132624.20210425649</v>
      </c>
      <c r="W13" s="4">
        <v>157622.427559934</v>
      </c>
      <c r="X13" s="4">
        <v>1.3046033308909539</v>
      </c>
      <c r="Y13" s="4">
        <v>1.5505069267535161</v>
      </c>
      <c r="Z13" s="4">
        <v>14221.250417522921</v>
      </c>
      <c r="AA13" s="4">
        <v>3395.0270099105501</v>
      </c>
      <c r="AB13" s="4">
        <v>1.5724560631331941</v>
      </c>
      <c r="AC13" s="4">
        <v>0.37539109779382368</v>
      </c>
    </row>
    <row r="14" spans="1:29" x14ac:dyDescent="0.25">
      <c r="A14" s="14" t="s">
        <v>74</v>
      </c>
      <c r="B14" s="4">
        <v>100821.6628371472</v>
      </c>
      <c r="C14" s="4">
        <v>5084.3667308043969</v>
      </c>
      <c r="D14" s="4">
        <v>0.24737290898336761</v>
      </c>
      <c r="E14" s="4">
        <v>1.247484472229843E-2</v>
      </c>
      <c r="F14" s="20">
        <v>3.9721089495292228E-5</v>
      </c>
      <c r="G14" s="20">
        <v>1.9162558315063121E-5</v>
      </c>
      <c r="H14" s="4">
        <v>0.24385547666046431</v>
      </c>
      <c r="I14" s="4">
        <v>0.1176426641698108</v>
      </c>
      <c r="J14" s="4">
        <v>5766.2082600325066</v>
      </c>
      <c r="K14" s="4">
        <v>1930.462254697605</v>
      </c>
      <c r="L14" s="4">
        <v>0.3662712156411807</v>
      </c>
      <c r="M14" s="4">
        <v>0.1226235204993307</v>
      </c>
      <c r="N14" s="4">
        <v>582.24862402685392</v>
      </c>
      <c r="O14" s="4">
        <v>124.05338822379311</v>
      </c>
      <c r="P14" s="4">
        <v>0.25277314960847769</v>
      </c>
      <c r="Q14" s="4">
        <v>5.3855628621434393E-2</v>
      </c>
      <c r="R14" s="4">
        <v>13536.63255314309</v>
      </c>
      <c r="S14" s="4">
        <v>150.10172006597901</v>
      </c>
      <c r="T14" s="4">
        <v>0.22535803544834621</v>
      </c>
      <c r="U14" s="4">
        <v>2.4988953950465589E-3</v>
      </c>
      <c r="V14" s="4">
        <v>50128.048929527489</v>
      </c>
      <c r="W14" s="4">
        <v>26009.785127181702</v>
      </c>
      <c r="X14" s="4">
        <v>0.49310170064674341</v>
      </c>
      <c r="Y14" s="4">
        <v>0.25585414859653433</v>
      </c>
      <c r="Z14" s="4">
        <v>8463.3949846280484</v>
      </c>
      <c r="AA14" s="4">
        <v>4903.0285938985353</v>
      </c>
      <c r="AB14" s="4">
        <v>0.93580496563589133</v>
      </c>
      <c r="AC14" s="4">
        <v>0.54213214828784917</v>
      </c>
    </row>
    <row r="15" spans="1:29" x14ac:dyDescent="0.25">
      <c r="A15" s="14" t="s">
        <v>75</v>
      </c>
      <c r="B15" s="4">
        <v>31208.670784490769</v>
      </c>
      <c r="C15" s="4">
        <v>13913.639268789269</v>
      </c>
      <c r="D15" s="4">
        <v>7.6572627947366648E-2</v>
      </c>
      <c r="E15" s="4">
        <v>3.4138074334531629E-2</v>
      </c>
      <c r="F15" s="20">
        <v>1.1817473548960519E-5</v>
      </c>
      <c r="G15" s="20">
        <v>9.1263267581840569E-6</v>
      </c>
      <c r="H15" s="4">
        <v>7.2549763408321047E-2</v>
      </c>
      <c r="I15" s="4">
        <v>5.6028291017543509E-2</v>
      </c>
      <c r="J15" s="4">
        <v>2385.5775099740499</v>
      </c>
      <c r="K15" s="4">
        <v>346.90727533528133</v>
      </c>
      <c r="L15" s="4">
        <v>0.15153257308460971</v>
      </c>
      <c r="M15" s="4">
        <v>2.203565041736924E-2</v>
      </c>
      <c r="N15" s="4">
        <v>529.08127589956496</v>
      </c>
      <c r="O15" s="4">
        <v>413.70497793211331</v>
      </c>
      <c r="P15" s="4">
        <v>0.229691466822319</v>
      </c>
      <c r="Q15" s="4">
        <v>0.17960284655955319</v>
      </c>
      <c r="R15" s="4">
        <v>18922.88761584341</v>
      </c>
      <c r="S15" s="4">
        <v>15937.624687676231</v>
      </c>
      <c r="T15" s="4">
        <v>0.31502848004292971</v>
      </c>
      <c r="U15" s="4">
        <v>0.26532978384597</v>
      </c>
      <c r="V15" s="4">
        <v>16965.650982818712</v>
      </c>
      <c r="W15" s="4">
        <v>12275.58260303082</v>
      </c>
      <c r="X15" s="4">
        <v>0.16688842934956519</v>
      </c>
      <c r="Y15" s="4">
        <v>0.12075296739543639</v>
      </c>
      <c r="Z15" s="4">
        <v>605.03477651179639</v>
      </c>
      <c r="AA15" s="4">
        <v>127.844222778937</v>
      </c>
      <c r="AB15" s="4">
        <v>6.6899222979727696E-2</v>
      </c>
      <c r="AC15" s="4">
        <v>1.413584722462864E-2</v>
      </c>
    </row>
    <row r="16" spans="1:29" x14ac:dyDescent="0.25">
      <c r="A16" s="14" t="s">
        <v>76</v>
      </c>
      <c r="B16" s="4">
        <v>3644.055699628721</v>
      </c>
      <c r="C16" s="4">
        <v>853.2833333890344</v>
      </c>
      <c r="D16" s="4">
        <v>8.9409421898807087E-3</v>
      </c>
      <c r="E16" s="4">
        <v>2.0935895563279588E-3</v>
      </c>
      <c r="F16" s="20">
        <v>9.645880688977471E-7</v>
      </c>
      <c r="G16" s="20">
        <v>3.0181425252290461E-6</v>
      </c>
      <c r="H16" s="4">
        <v>5.9217933422983119E-3</v>
      </c>
      <c r="I16" s="4">
        <v>1.8528962661162069E-2</v>
      </c>
      <c r="J16" s="4">
        <v>126.8346636848367</v>
      </c>
      <c r="K16" s="4">
        <v>94.774209879628131</v>
      </c>
      <c r="L16" s="4">
        <v>8.0565745041306473E-3</v>
      </c>
      <c r="M16" s="4">
        <v>6.0200852100073298E-3</v>
      </c>
      <c r="N16" s="4">
        <v>26.88560402452595</v>
      </c>
      <c r="O16" s="4">
        <v>60.539954695547138</v>
      </c>
      <c r="P16" s="4">
        <v>1.167191905307508E-2</v>
      </c>
      <c r="Q16" s="4">
        <v>2.6282372158671199E-2</v>
      </c>
      <c r="R16" s="4">
        <v>697.26376854531884</v>
      </c>
      <c r="S16" s="4">
        <v>1336.3907534344601</v>
      </c>
      <c r="T16" s="4">
        <v>1.1608056320639231E-2</v>
      </c>
      <c r="U16" s="4">
        <v>2.2248250708068219E-2</v>
      </c>
      <c r="V16" s="4">
        <v>1769.877735616767</v>
      </c>
      <c r="W16" s="4">
        <v>1083.027668189972</v>
      </c>
      <c r="X16" s="4">
        <v>1.7410007770227841E-2</v>
      </c>
      <c r="Y16" s="4">
        <v>1.065357213049996E-2</v>
      </c>
      <c r="Z16" s="4">
        <v>71.811230814672058</v>
      </c>
      <c r="AA16" s="4">
        <v>17.36630069630689</v>
      </c>
      <c r="AB16" s="4">
        <v>7.9402304284335173E-3</v>
      </c>
      <c r="AC16" s="4">
        <v>1.920207015724464E-3</v>
      </c>
    </row>
    <row r="17" spans="1:29" x14ac:dyDescent="0.25">
      <c r="A17" s="14" t="s">
        <v>77</v>
      </c>
      <c r="B17" s="4">
        <v>394688.663933462</v>
      </c>
      <c r="C17" s="4">
        <v>88771.328818789712</v>
      </c>
      <c r="D17" s="4">
        <v>0.9683958803346181</v>
      </c>
      <c r="E17" s="4">
        <v>0.21780658269536249</v>
      </c>
      <c r="F17" s="20">
        <v>1.022753695402439E-4</v>
      </c>
      <c r="G17" s="20">
        <v>3.0763684206912612E-6</v>
      </c>
      <c r="H17" s="4">
        <v>0.62788834109943681</v>
      </c>
      <c r="I17" s="4">
        <v>1.8886422732684111E-2</v>
      </c>
      <c r="J17" s="4">
        <v>8059.1632438799952</v>
      </c>
      <c r="K17" s="4">
        <v>1101.070352283057</v>
      </c>
      <c r="L17" s="4">
        <v>0.51192037908981214</v>
      </c>
      <c r="M17" s="4">
        <v>6.9940307087504441E-2</v>
      </c>
      <c r="N17" s="4">
        <v>1492.995418712942</v>
      </c>
      <c r="O17" s="4">
        <v>888.11087958370422</v>
      </c>
      <c r="P17" s="4">
        <v>0.64815808705404987</v>
      </c>
      <c r="Q17" s="4">
        <v>0.38555794718988401</v>
      </c>
      <c r="R17" s="4">
        <v>35612.811774019632</v>
      </c>
      <c r="S17" s="4">
        <v>1049.832994484485</v>
      </c>
      <c r="T17" s="4">
        <v>0.59288255529410183</v>
      </c>
      <c r="U17" s="4">
        <v>1.7477633396419862E-2</v>
      </c>
      <c r="V17" s="4">
        <v>101277.089140333</v>
      </c>
      <c r="W17" s="4">
        <v>45233.285247707667</v>
      </c>
      <c r="X17" s="4">
        <v>0.99624673128327845</v>
      </c>
      <c r="Y17" s="4">
        <v>0.44495268333385241</v>
      </c>
      <c r="Z17" s="4">
        <v>16441.601367401199</v>
      </c>
      <c r="AA17" s="4">
        <v>29743.444950807519</v>
      </c>
      <c r="AB17" s="4">
        <v>1.8179622043595429</v>
      </c>
      <c r="AC17" s="4">
        <v>3.288758651893017</v>
      </c>
    </row>
    <row r="18" spans="1:29" x14ac:dyDescent="0.25">
      <c r="A18" s="14" t="s">
        <v>78</v>
      </c>
      <c r="B18" s="4">
        <v>17366.68727678615</v>
      </c>
      <c r="C18" s="4">
        <v>143148.86826633679</v>
      </c>
      <c r="D18" s="4">
        <v>4.2610365968693088E-2</v>
      </c>
      <c r="E18" s="4">
        <v>0.35122562913804217</v>
      </c>
      <c r="F18" s="20">
        <v>1.8501911524942669E-5</v>
      </c>
      <c r="G18" s="20">
        <v>1.903359017227379E-6</v>
      </c>
      <c r="H18" s="4">
        <v>0.11358682532057369</v>
      </c>
      <c r="I18" s="4">
        <v>1.168509037137529E-2</v>
      </c>
      <c r="J18" s="4">
        <v>700.64291673903642</v>
      </c>
      <c r="K18" s="4">
        <v>537.13734844403814</v>
      </c>
      <c r="L18" s="4">
        <v>4.4505040621433033E-2</v>
      </c>
      <c r="M18" s="4">
        <v>3.4119119655204623E-2</v>
      </c>
      <c r="N18" s="4">
        <v>615.72408317195266</v>
      </c>
      <c r="O18" s="4">
        <v>105.1512726088898</v>
      </c>
      <c r="P18" s="4">
        <v>0.26730594005832897</v>
      </c>
      <c r="Q18" s="4">
        <v>4.5649602705566658E-2</v>
      </c>
      <c r="R18" s="4">
        <v>12512.15665677001</v>
      </c>
      <c r="S18" s="4">
        <v>404.53605072224138</v>
      </c>
      <c r="T18" s="4">
        <v>0.20830254735228981</v>
      </c>
      <c r="U18" s="4">
        <v>6.7347214531304532E-3</v>
      </c>
      <c r="V18" s="4">
        <v>3796.2008524723569</v>
      </c>
      <c r="W18" s="4">
        <v>3905.6623855821308</v>
      </c>
      <c r="X18" s="4">
        <v>3.7342628255537427E-2</v>
      </c>
      <c r="Y18" s="4">
        <v>3.841938406958699E-2</v>
      </c>
      <c r="Z18" s="4">
        <v>186.55640136679349</v>
      </c>
      <c r="AA18" s="4">
        <v>15.12959205137345</v>
      </c>
      <c r="AB18" s="4">
        <v>2.062770402271143E-2</v>
      </c>
      <c r="AC18" s="4">
        <v>1.672892189887888E-3</v>
      </c>
    </row>
    <row r="19" spans="1:29" x14ac:dyDescent="0.25">
      <c r="A19" s="14" t="s">
        <v>79</v>
      </c>
      <c r="B19" s="4">
        <v>24152.951747724601</v>
      </c>
      <c r="C19" s="4">
        <v>224194.96335559411</v>
      </c>
      <c r="D19" s="4">
        <v>5.9260934269853821E-2</v>
      </c>
      <c r="E19" s="4">
        <v>0.55007781764395713</v>
      </c>
      <c r="F19" s="20">
        <v>5.5769947325652048E-6</v>
      </c>
      <c r="G19" s="20">
        <v>3.1812944462229991E-6</v>
      </c>
      <c r="H19" s="4">
        <v>3.4238252931198497E-2</v>
      </c>
      <c r="I19" s="4">
        <v>1.9530583965299921E-2</v>
      </c>
      <c r="J19" s="4">
        <v>877.44730278546717</v>
      </c>
      <c r="K19" s="4">
        <v>1624.9384596487889</v>
      </c>
      <c r="L19" s="4">
        <v>5.5735706335812513E-2</v>
      </c>
      <c r="M19" s="4">
        <v>0.10321656071338541</v>
      </c>
      <c r="N19" s="4">
        <v>216.73573939177211</v>
      </c>
      <c r="O19" s="4">
        <v>29.738087759619489</v>
      </c>
      <c r="P19" s="4">
        <v>9.4092065172924649E-2</v>
      </c>
      <c r="Q19" s="4">
        <v>1.291027543241673E-2</v>
      </c>
      <c r="R19" s="4">
        <v>4067.2755891415268</v>
      </c>
      <c r="S19" s="4">
        <v>357.79341707125297</v>
      </c>
      <c r="T19" s="4">
        <v>6.7712057101167622E-2</v>
      </c>
      <c r="U19" s="4">
        <v>5.956549477942827E-3</v>
      </c>
      <c r="V19" s="4">
        <v>5370.47594397387</v>
      </c>
      <c r="W19" s="4">
        <v>10853.7837295523</v>
      </c>
      <c r="X19" s="4">
        <v>5.2828523706934978E-2</v>
      </c>
      <c r="Y19" s="4">
        <v>0.10676695642031329</v>
      </c>
      <c r="Z19" s="4">
        <v>342.5597219294657</v>
      </c>
      <c r="AA19" s="4">
        <v>19.357870247747211</v>
      </c>
      <c r="AB19" s="4">
        <v>3.7877127251025093E-2</v>
      </c>
      <c r="AC19" s="4">
        <v>2.1404165981712422E-3</v>
      </c>
    </row>
    <row r="20" spans="1:29" x14ac:dyDescent="0.25">
      <c r="A20" s="14" t="s">
        <v>80</v>
      </c>
      <c r="B20" s="4">
        <v>477832.94599410152</v>
      </c>
      <c r="C20" s="4">
        <v>21660.845895265651</v>
      </c>
      <c r="D20" s="4">
        <v>1.1723961154021161</v>
      </c>
      <c r="E20" s="4">
        <v>5.3146380543309793E-2</v>
      </c>
      <c r="F20" s="20">
        <v>1.2591048221874599E-4</v>
      </c>
      <c r="G20" s="20">
        <v>3.416089023840304E-6</v>
      </c>
      <c r="H20" s="4">
        <v>0.77298888444739844</v>
      </c>
      <c r="I20" s="4">
        <v>2.097203344137601E-2</v>
      </c>
      <c r="J20" s="4">
        <v>9013.715911247471</v>
      </c>
      <c r="K20" s="4">
        <v>187.25874803858159</v>
      </c>
      <c r="L20" s="4">
        <v>0.5725538404744076</v>
      </c>
      <c r="M20" s="4">
        <v>1.189472981039193E-2</v>
      </c>
      <c r="N20" s="4">
        <v>3625.9001108303219</v>
      </c>
      <c r="O20" s="4">
        <v>362.25235047580838</v>
      </c>
      <c r="P20" s="4">
        <v>1.574121695370529</v>
      </c>
      <c r="Q20" s="4">
        <v>0.15726558003616861</v>
      </c>
      <c r="R20" s="4">
        <v>100470.14505398971</v>
      </c>
      <c r="S20" s="4">
        <v>535.74650940401966</v>
      </c>
      <c r="T20" s="4">
        <v>1.672628286369513</v>
      </c>
      <c r="U20" s="4">
        <v>8.9191148820513128E-3</v>
      </c>
      <c r="V20" s="4">
        <v>74885.426345653876</v>
      </c>
      <c r="W20" s="4">
        <v>18945.66903698981</v>
      </c>
      <c r="X20" s="4">
        <v>0.73663611238113336</v>
      </c>
      <c r="Y20" s="4">
        <v>0.18636555424616011</v>
      </c>
      <c r="Z20" s="4">
        <v>4002.543534298185</v>
      </c>
      <c r="AA20" s="4">
        <v>128.75487806167769</v>
      </c>
      <c r="AB20" s="4">
        <v>0.44256472980088429</v>
      </c>
      <c r="AC20" s="4">
        <v>1.4236539173559199E-2</v>
      </c>
    </row>
    <row r="21" spans="1:29" x14ac:dyDescent="0.25">
      <c r="A21" s="14" t="s">
        <v>81</v>
      </c>
      <c r="B21" s="4">
        <v>44258.686639852778</v>
      </c>
      <c r="C21" s="4">
        <v>232477.08237818431</v>
      </c>
      <c r="D21" s="4">
        <v>0.1085917426254728</v>
      </c>
      <c r="E21" s="4">
        <v>0.57039856833891367</v>
      </c>
      <c r="F21" s="20">
        <v>2.6162779471783202E-5</v>
      </c>
      <c r="G21" s="20">
        <v>1.995309223067734E-5</v>
      </c>
      <c r="H21" s="4">
        <v>0.16061838030929279</v>
      </c>
      <c r="I21" s="4">
        <v>0.1224959052882654</v>
      </c>
      <c r="J21" s="4">
        <v>1698.4009667303701</v>
      </c>
      <c r="K21" s="4">
        <v>2579.859395554739</v>
      </c>
      <c r="L21" s="4">
        <v>0.10788292040062079</v>
      </c>
      <c r="M21" s="4">
        <v>0.1638734146220083</v>
      </c>
      <c r="N21" s="4">
        <v>308.64982802417109</v>
      </c>
      <c r="O21" s="4">
        <v>215.24969416204479</v>
      </c>
      <c r="P21" s="4">
        <v>0.13399497385877279</v>
      </c>
      <c r="Q21" s="4">
        <v>9.3446924389970237E-2</v>
      </c>
      <c r="R21" s="4">
        <v>9952.5818210061552</v>
      </c>
      <c r="S21" s="4">
        <v>3203.5694484359519</v>
      </c>
      <c r="T21" s="4">
        <v>0.16569071207448041</v>
      </c>
      <c r="U21" s="4">
        <v>5.3333065996109763E-2</v>
      </c>
      <c r="V21" s="4">
        <v>16254.581010112741</v>
      </c>
      <c r="W21" s="4">
        <v>22923.84733772559</v>
      </c>
      <c r="X21" s="4">
        <v>0.15989374632663181</v>
      </c>
      <c r="Y21" s="4">
        <v>0.22549826592074701</v>
      </c>
      <c r="Z21" s="4">
        <v>1357.274511605711</v>
      </c>
      <c r="AA21" s="4">
        <v>1222.7563327136979</v>
      </c>
      <c r="AB21" s="4">
        <v>0.15007502662921909</v>
      </c>
      <c r="AC21" s="4">
        <v>0.1352012342558179</v>
      </c>
    </row>
    <row r="22" spans="1:29" x14ac:dyDescent="0.25">
      <c r="A22" s="14" t="s">
        <v>82</v>
      </c>
      <c r="B22" s="4">
        <v>15028.99413230272</v>
      </c>
      <c r="C22" s="4">
        <v>626.38350073636548</v>
      </c>
      <c r="D22" s="4">
        <v>3.6874674479499797E-2</v>
      </c>
      <c r="E22" s="4">
        <v>1.536875155160101E-3</v>
      </c>
      <c r="F22" s="20">
        <v>8.7426186649907227E-6</v>
      </c>
      <c r="G22" s="20">
        <v>2.433548213144177E-9</v>
      </c>
      <c r="H22" s="4">
        <v>5.3672632571285933E-2</v>
      </c>
      <c r="I22" s="4">
        <v>1.494002473328001E-5</v>
      </c>
      <c r="J22" s="4">
        <v>1271.850085740482</v>
      </c>
      <c r="K22" s="4">
        <v>2.9908104784717668</v>
      </c>
      <c r="L22" s="4">
        <v>8.0788285127752213E-2</v>
      </c>
      <c r="M22" s="4">
        <v>1.8997714621151401E-4</v>
      </c>
      <c r="N22" s="4">
        <v>319.17065699073152</v>
      </c>
      <c r="O22" s="4">
        <v>7.0878853598700431</v>
      </c>
      <c r="P22" s="4">
        <v>0.13856240942603471</v>
      </c>
      <c r="Q22" s="4">
        <v>3.077082594179797E-3</v>
      </c>
      <c r="R22" s="4">
        <v>8514.9093618303159</v>
      </c>
      <c r="S22" s="4">
        <v>73.868740995532505</v>
      </c>
      <c r="T22" s="4">
        <v>0.14175632220712511</v>
      </c>
      <c r="U22" s="4">
        <v>1.2297677643566269E-3</v>
      </c>
      <c r="V22" s="4">
        <v>5969.2310965762535</v>
      </c>
      <c r="W22" s="4">
        <v>41965.388489558522</v>
      </c>
      <c r="X22" s="4">
        <v>5.8718383582277607E-2</v>
      </c>
      <c r="Y22" s="4">
        <v>0.41280689901963102</v>
      </c>
      <c r="Z22" s="4">
        <v>125.5447995916509</v>
      </c>
      <c r="AA22" s="4">
        <v>658.19954345983342</v>
      </c>
      <c r="AB22" s="4">
        <v>1.388159799714145E-2</v>
      </c>
      <c r="AC22" s="4">
        <v>7.2777697634072866E-2</v>
      </c>
    </row>
    <row r="23" spans="1:29" x14ac:dyDescent="0.25">
      <c r="A23" s="14" t="s">
        <v>83</v>
      </c>
      <c r="B23" s="4">
        <v>3601.193539629583</v>
      </c>
      <c r="C23" s="4">
        <v>6.3889352596422988</v>
      </c>
      <c r="D23" s="4">
        <v>8.8357769217634399E-3</v>
      </c>
      <c r="E23" s="4">
        <v>1.5675693655608049E-5</v>
      </c>
      <c r="F23" s="20">
        <v>1.3931453036227261E-6</v>
      </c>
      <c r="G23" s="20">
        <v>3.3545605688677378E-7</v>
      </c>
      <c r="H23" s="4">
        <v>8.5527893718139753E-3</v>
      </c>
      <c r="I23" s="4">
        <v>2.059429831612735E-3</v>
      </c>
      <c r="J23" s="4">
        <v>183.41428117349139</v>
      </c>
      <c r="K23" s="4">
        <v>4.0868685814670984</v>
      </c>
      <c r="L23" s="4">
        <v>1.165052816371729E-2</v>
      </c>
      <c r="M23" s="4">
        <v>2.5959907377526162E-4</v>
      </c>
      <c r="N23" s="4">
        <v>24.862796456306739</v>
      </c>
      <c r="O23" s="4">
        <v>0</v>
      </c>
      <c r="P23" s="4">
        <v>1.079375220308859E-2</v>
      </c>
      <c r="Q23" s="4">
        <v>0</v>
      </c>
      <c r="R23" s="4">
        <v>363.31965922930868</v>
      </c>
      <c r="S23" s="4">
        <v>0</v>
      </c>
      <c r="T23" s="4">
        <v>6.04855042952824E-3</v>
      </c>
      <c r="U23" s="4">
        <v>0</v>
      </c>
      <c r="V23" s="4">
        <v>1550.452517433815</v>
      </c>
      <c r="W23" s="4">
        <v>852.41454769595759</v>
      </c>
      <c r="X23" s="4">
        <v>1.525155655256908E-2</v>
      </c>
      <c r="Y23" s="4">
        <v>8.385067284701583E-3</v>
      </c>
      <c r="Z23" s="4">
        <v>67.858454771133168</v>
      </c>
      <c r="AA23" s="4">
        <v>81.865709400292488</v>
      </c>
      <c r="AB23" s="4">
        <v>7.5031685334955188E-3</v>
      </c>
      <c r="AC23" s="4">
        <v>9.0519628956517943E-3</v>
      </c>
    </row>
    <row r="24" spans="1:29" x14ac:dyDescent="0.25">
      <c r="A24" s="14" t="s">
        <v>84</v>
      </c>
      <c r="B24" s="4">
        <v>20259.359580211501</v>
      </c>
      <c r="C24" s="4">
        <v>2756.889879600636</v>
      </c>
      <c r="D24" s="4">
        <v>4.9707737131771158E-2</v>
      </c>
      <c r="E24" s="4">
        <v>6.7642196138461537E-3</v>
      </c>
      <c r="F24" s="20">
        <v>8.5931690953187296E-6</v>
      </c>
      <c r="G24" s="20">
        <v>5.5524360011863744E-6</v>
      </c>
      <c r="H24" s="4">
        <v>5.2755132660983001E-2</v>
      </c>
      <c r="I24" s="4">
        <v>3.4087482113412372E-2</v>
      </c>
      <c r="J24" s="4">
        <v>781.85288870300712</v>
      </c>
      <c r="K24" s="4">
        <v>1312.0052693010271</v>
      </c>
      <c r="L24" s="4">
        <v>4.9663521517726933E-2</v>
      </c>
      <c r="M24" s="4">
        <v>8.3338953996055079E-2</v>
      </c>
      <c r="N24" s="4">
        <v>112.06804332964479</v>
      </c>
      <c r="O24" s="4">
        <v>13.57074701609084</v>
      </c>
      <c r="P24" s="4">
        <v>4.8652398844633703E-2</v>
      </c>
      <c r="Q24" s="4">
        <v>5.8915046326308241E-3</v>
      </c>
      <c r="R24" s="4">
        <v>2212.4469012371701</v>
      </c>
      <c r="S24" s="4">
        <v>19.19595595063841</v>
      </c>
      <c r="T24" s="4">
        <v>3.6832844892492923E-2</v>
      </c>
      <c r="U24" s="4">
        <v>3.1957452524515871E-4</v>
      </c>
      <c r="V24" s="4">
        <v>4045.6905935040959</v>
      </c>
      <c r="W24" s="4">
        <v>6683.9378418402493</v>
      </c>
      <c r="X24" s="4">
        <v>3.9796819436399462E-2</v>
      </c>
      <c r="Y24" s="4">
        <v>6.5748840962512545E-2</v>
      </c>
      <c r="Z24" s="4">
        <v>511.76848539682618</v>
      </c>
      <c r="AA24" s="4">
        <v>150.46693892042981</v>
      </c>
      <c r="AB24" s="4">
        <v>5.6586687819741001E-2</v>
      </c>
      <c r="AC24" s="4">
        <v>1.663726068102904E-2</v>
      </c>
    </row>
    <row r="25" spans="1:29" x14ac:dyDescent="0.25">
      <c r="A25" s="14" t="s">
        <v>85</v>
      </c>
      <c r="B25" s="4">
        <v>51659.288285644667</v>
      </c>
      <c r="C25" s="4">
        <v>17884.906356100179</v>
      </c>
      <c r="D25" s="4">
        <v>0.12674962958974259</v>
      </c>
      <c r="E25" s="4">
        <v>4.3881852249847357E-2</v>
      </c>
      <c r="F25" s="20">
        <v>1.2117840393216451E-5</v>
      </c>
      <c r="G25" s="20">
        <v>7.604448731002233E-6</v>
      </c>
      <c r="H25" s="4">
        <v>7.4393773754203127E-2</v>
      </c>
      <c r="I25" s="4">
        <v>4.6685186474011389E-2</v>
      </c>
      <c r="J25" s="4">
        <v>2349.6085563378901</v>
      </c>
      <c r="K25" s="4">
        <v>5844.3493729168385</v>
      </c>
      <c r="L25" s="4">
        <v>0.14924781475130891</v>
      </c>
      <c r="M25" s="4">
        <v>0.37123476172155367</v>
      </c>
      <c r="N25" s="4">
        <v>277.42666631265189</v>
      </c>
      <c r="O25" s="4">
        <v>236.77160590085589</v>
      </c>
      <c r="P25" s="4">
        <v>0.120439979306838</v>
      </c>
      <c r="Q25" s="4">
        <v>0.10279028939131719</v>
      </c>
      <c r="R25" s="4">
        <v>7117.1121058047247</v>
      </c>
      <c r="S25" s="4">
        <v>2113.2030453627231</v>
      </c>
      <c r="T25" s="4">
        <v>0.1184857752423355</v>
      </c>
      <c r="U25" s="4">
        <v>3.5180631884392077E-2</v>
      </c>
      <c r="V25" s="4">
        <v>26968.525009246139</v>
      </c>
      <c r="W25" s="4">
        <v>44690.230857829447</v>
      </c>
      <c r="X25" s="4">
        <v>0.26528512140356408</v>
      </c>
      <c r="Y25" s="4">
        <v>0.43961074306466108</v>
      </c>
      <c r="Z25" s="4">
        <v>1056.243973542332</v>
      </c>
      <c r="AA25" s="4">
        <v>2978.4380888442561</v>
      </c>
      <c r="AB25" s="4">
        <v>0.1167898174620452</v>
      </c>
      <c r="AC25" s="4">
        <v>0.32932849742236431</v>
      </c>
    </row>
    <row r="26" spans="1:29" x14ac:dyDescent="0.25">
      <c r="A26" s="14" t="s">
        <v>86</v>
      </c>
      <c r="B26" s="4">
        <v>1174.0000177411839</v>
      </c>
      <c r="C26" s="4">
        <v>3674.7376646594889</v>
      </c>
      <c r="D26" s="4">
        <v>2.8804900788460259E-3</v>
      </c>
      <c r="E26" s="4">
        <v>9.0162225089054655E-3</v>
      </c>
      <c r="F26" s="20">
        <v>1.504173666350726E-6</v>
      </c>
      <c r="G26" s="20">
        <v>1.35488074840036E-5</v>
      </c>
      <c r="H26" s="4">
        <v>9.2344140366932299E-3</v>
      </c>
      <c r="I26" s="4">
        <v>8.317875841709102E-2</v>
      </c>
      <c r="J26" s="4">
        <v>55.069161535971688</v>
      </c>
      <c r="K26" s="4">
        <v>292.96887696371289</v>
      </c>
      <c r="L26" s="4">
        <v>3.4980090608116858E-3</v>
      </c>
      <c r="M26" s="4">
        <v>1.8609467759654882E-2</v>
      </c>
      <c r="N26" s="4">
        <v>15.09499658592326</v>
      </c>
      <c r="O26" s="4">
        <v>7.6379631358878681</v>
      </c>
      <c r="P26" s="4">
        <v>6.5532311677512214E-3</v>
      </c>
      <c r="Q26" s="4">
        <v>3.3158893276539151E-3</v>
      </c>
      <c r="R26" s="4">
        <v>307.34960734389358</v>
      </c>
      <c r="S26" s="4">
        <v>14.819940424967591</v>
      </c>
      <c r="T26" s="4">
        <v>5.1167602751216014E-3</v>
      </c>
      <c r="U26" s="4">
        <v>2.4672256165044181E-4</v>
      </c>
      <c r="V26" s="4">
        <v>872.25765224994666</v>
      </c>
      <c r="W26" s="4">
        <v>623.12044505815516</v>
      </c>
      <c r="X26" s="4">
        <v>8.580260770397365E-3</v>
      </c>
      <c r="Y26" s="4">
        <v>6.1295374092435921E-3</v>
      </c>
      <c r="Z26" s="4">
        <v>34.611924097803843</v>
      </c>
      <c r="AA26" s="4">
        <v>15.212025089732141</v>
      </c>
      <c r="AB26" s="4">
        <v>3.8270706377011771E-3</v>
      </c>
      <c r="AC26" s="4">
        <v>1.682006882841322E-3</v>
      </c>
    </row>
    <row r="27" spans="1:29" x14ac:dyDescent="0.25">
      <c r="A27" s="14" t="s">
        <v>87</v>
      </c>
      <c r="B27" s="4">
        <v>37668.260718699647</v>
      </c>
      <c r="C27" s="4">
        <v>64646.242047085798</v>
      </c>
      <c r="D27" s="4">
        <v>9.2421677723960718E-2</v>
      </c>
      <c r="E27" s="4">
        <v>0.1586140170675546</v>
      </c>
      <c r="F27" s="20">
        <v>1.833743729733797E-5</v>
      </c>
      <c r="G27" s="20">
        <v>6.0497630071090998E-5</v>
      </c>
      <c r="H27" s="4">
        <v>0.1125770861195465</v>
      </c>
      <c r="I27" s="4">
        <v>0.37140669113728197</v>
      </c>
      <c r="J27" s="4">
        <v>1204.7662354428339</v>
      </c>
      <c r="K27" s="4">
        <v>7506.0444643379014</v>
      </c>
      <c r="L27" s="4">
        <v>7.6527099563450066E-2</v>
      </c>
      <c r="M27" s="4">
        <v>0.47678611431115719</v>
      </c>
      <c r="N27" s="4">
        <v>188.71064215513209</v>
      </c>
      <c r="O27" s="4">
        <v>99.015126278357329</v>
      </c>
      <c r="P27" s="4">
        <v>8.1925454889509711E-2</v>
      </c>
      <c r="Q27" s="4">
        <v>4.2985701117100782E-2</v>
      </c>
      <c r="R27" s="4">
        <v>2412.72677913601</v>
      </c>
      <c r="S27" s="4">
        <v>479.81735297088369</v>
      </c>
      <c r="T27" s="4">
        <v>4.0167106914153337E-2</v>
      </c>
      <c r="U27" s="4">
        <v>7.9880055556680544E-3</v>
      </c>
      <c r="V27" s="4">
        <v>8076.5725219317492</v>
      </c>
      <c r="W27" s="4">
        <v>7466.7011813805429</v>
      </c>
      <c r="X27" s="4">
        <v>7.9447968373159705E-2</v>
      </c>
      <c r="Y27" s="4">
        <v>7.3448760312533043E-2</v>
      </c>
      <c r="Z27" s="4">
        <v>718.92753649146766</v>
      </c>
      <c r="AA27" s="4">
        <v>21.402802765937849</v>
      </c>
      <c r="AB27" s="4">
        <v>7.9492444793495751E-2</v>
      </c>
      <c r="AC27" s="4">
        <v>2.3665265703973841E-3</v>
      </c>
    </row>
    <row r="28" spans="1:29" x14ac:dyDescent="0.25">
      <c r="A28" s="14" t="s">
        <v>88</v>
      </c>
      <c r="B28" s="4">
        <v>457076.3946433391</v>
      </c>
      <c r="C28" s="4">
        <v>7052311.7700274261</v>
      </c>
      <c r="D28" s="4">
        <v>1.1214684839426501</v>
      </c>
      <c r="E28" s="4">
        <v>17.30333371338283</v>
      </c>
      <c r="F28" s="20">
        <v>1.4812844819231269E-4</v>
      </c>
      <c r="G28" s="20">
        <v>1.9463063636232631E-3</v>
      </c>
      <c r="H28" s="4">
        <v>0.90938928916319173</v>
      </c>
      <c r="I28" s="4">
        <v>11.94875246523381</v>
      </c>
      <c r="J28" s="4">
        <v>12467.15335458564</v>
      </c>
      <c r="K28" s="4">
        <v>87218.859764343259</v>
      </c>
      <c r="L28" s="4">
        <v>0.79191718523592902</v>
      </c>
      <c r="M28" s="4">
        <v>5.5401671864941573</v>
      </c>
      <c r="N28" s="4">
        <v>2820.5252944775339</v>
      </c>
      <c r="O28" s="4">
        <v>3400.6780033032551</v>
      </c>
      <c r="P28" s="4">
        <v>1.2244821761958911</v>
      </c>
      <c r="Q28" s="4">
        <v>1.4763454205425259</v>
      </c>
      <c r="R28" s="4">
        <v>62028.84464377274</v>
      </c>
      <c r="S28" s="4">
        <v>8551.7142681534169</v>
      </c>
      <c r="T28" s="4">
        <v>1.032657015337656</v>
      </c>
      <c r="U28" s="4">
        <v>0.14236905076803361</v>
      </c>
      <c r="V28" s="4">
        <v>162417.74318211401</v>
      </c>
      <c r="W28" s="4">
        <v>315517.11209214752</v>
      </c>
      <c r="X28" s="4">
        <v>1.597677689209464</v>
      </c>
      <c r="Y28" s="4">
        <v>3.1036920023460728</v>
      </c>
      <c r="Z28" s="4">
        <v>19679.154965134509</v>
      </c>
      <c r="AA28" s="4">
        <v>7623.203228819676</v>
      </c>
      <c r="AB28" s="4">
        <v>2.175941329612944</v>
      </c>
      <c r="AC28" s="4">
        <v>0.84290423033996364</v>
      </c>
    </row>
    <row r="29" spans="1:29" x14ac:dyDescent="0.25">
      <c r="A29" s="14" t="s">
        <v>89</v>
      </c>
      <c r="B29" s="4">
        <v>9643.5115500274205</v>
      </c>
      <c r="C29" s="4">
        <v>85.701050158918676</v>
      </c>
      <c r="D29" s="4">
        <v>2.3661021231104369E-2</v>
      </c>
      <c r="E29" s="4">
        <v>2.102734420774712E-4</v>
      </c>
      <c r="F29" s="20">
        <v>1.148636003145025E-5</v>
      </c>
      <c r="G29" s="20">
        <v>1.4242106329579279E-7</v>
      </c>
      <c r="H29" s="4">
        <v>7.0516993268651018E-2</v>
      </c>
      <c r="I29" s="4">
        <v>8.7435054571204465E-4</v>
      </c>
      <c r="J29" s="4">
        <v>698.1451827136575</v>
      </c>
      <c r="K29" s="4">
        <v>3.760207789576647</v>
      </c>
      <c r="L29" s="4">
        <v>4.4346383834066368E-2</v>
      </c>
      <c r="M29" s="4">
        <v>2.3884948583940171E-4</v>
      </c>
      <c r="N29" s="4">
        <v>132.2041660965308</v>
      </c>
      <c r="O29" s="4">
        <v>0.19895520431563371</v>
      </c>
      <c r="P29" s="4">
        <v>5.7394147579885327E-2</v>
      </c>
      <c r="Q29" s="4">
        <v>8.6372954010693312E-5</v>
      </c>
      <c r="R29" s="4">
        <v>1837.315165421712</v>
      </c>
      <c r="S29" s="4">
        <v>2.5973142300680551E-2</v>
      </c>
      <c r="T29" s="4">
        <v>3.0587646857766739E-2</v>
      </c>
      <c r="U29" s="4">
        <v>4.3240121206825782E-7</v>
      </c>
      <c r="V29" s="4">
        <v>4164.6633986904653</v>
      </c>
      <c r="W29" s="4">
        <v>4596.0290197049271</v>
      </c>
      <c r="X29" s="4">
        <v>4.0967136131760708E-2</v>
      </c>
      <c r="Y29" s="4">
        <v>4.5210411620535552E-2</v>
      </c>
      <c r="Z29" s="4">
        <v>280.12253301429308</v>
      </c>
      <c r="AA29" s="4">
        <v>104.6032520751441</v>
      </c>
      <c r="AB29" s="4">
        <v>3.097339281191543E-2</v>
      </c>
      <c r="AC29" s="4">
        <v>1.1566072822002969E-2</v>
      </c>
    </row>
    <row r="30" spans="1:29" x14ac:dyDescent="0.25">
      <c r="A30" s="14" t="s">
        <v>90</v>
      </c>
      <c r="B30" s="4">
        <v>1250.4967475140029</v>
      </c>
      <c r="C30" s="4">
        <v>33.30912552197649</v>
      </c>
      <c r="D30" s="4">
        <v>3.0681800855282492E-3</v>
      </c>
      <c r="E30" s="4">
        <v>8.1726238629616741E-5</v>
      </c>
      <c r="F30" s="20">
        <v>1.6157405898852809E-6</v>
      </c>
      <c r="G30" s="20">
        <v>9.6121609032866642E-8</v>
      </c>
      <c r="H30" s="4">
        <v>9.9193450308766862E-3</v>
      </c>
      <c r="I30" s="4">
        <v>5.9010921114987516E-4</v>
      </c>
      <c r="J30" s="4">
        <v>86.52632593395532</v>
      </c>
      <c r="K30" s="4">
        <v>3.9272587854935179</v>
      </c>
      <c r="L30" s="4">
        <v>5.4961772373820173E-3</v>
      </c>
      <c r="M30" s="4">
        <v>2.494606133931258E-4</v>
      </c>
      <c r="N30" s="4">
        <v>62.937765379885818</v>
      </c>
      <c r="O30" s="4">
        <v>5.6316565197765422</v>
      </c>
      <c r="P30" s="4">
        <v>2.7323340112624141E-2</v>
      </c>
      <c r="Q30" s="4">
        <v>2.4448860800594689E-3</v>
      </c>
      <c r="R30" s="4">
        <v>1585.6337636926789</v>
      </c>
      <c r="S30" s="4">
        <v>2.76654732042577</v>
      </c>
      <c r="T30" s="4">
        <v>2.6397651596399369E-2</v>
      </c>
      <c r="U30" s="4">
        <v>4.6057515904225003E-5</v>
      </c>
      <c r="V30" s="4">
        <v>1151.422150019697</v>
      </c>
      <c r="W30" s="4">
        <v>1071.543460333728</v>
      </c>
      <c r="X30" s="4">
        <v>1.132635784678632E-2</v>
      </c>
      <c r="Y30" s="4">
        <v>1.0540603791507629E-2</v>
      </c>
      <c r="Z30" s="4">
        <v>36.254033536374877</v>
      </c>
      <c r="AA30" s="4">
        <v>12.1249010402575</v>
      </c>
      <c r="AB30" s="4">
        <v>4.0086401106518574E-3</v>
      </c>
      <c r="AC30" s="4">
        <v>1.340660883950865E-3</v>
      </c>
    </row>
    <row r="31" spans="1:29" x14ac:dyDescent="0.25">
      <c r="A31" s="14" t="s">
        <v>91</v>
      </c>
      <c r="B31" s="4">
        <v>11857.16391308076</v>
      </c>
      <c r="C31" s="4">
        <v>339.88903395556071</v>
      </c>
      <c r="D31" s="4">
        <v>2.909237010114751E-2</v>
      </c>
      <c r="E31" s="4">
        <v>8.3394120564092751E-4</v>
      </c>
      <c r="F31" s="20">
        <v>2.2081741079229911E-5</v>
      </c>
      <c r="G31" s="20">
        <v>4.6203821324206482E-6</v>
      </c>
      <c r="H31" s="4">
        <v>0.13556409365374461</v>
      </c>
      <c r="I31" s="4">
        <v>2.8365422539290312E-2</v>
      </c>
      <c r="J31" s="4">
        <v>876.47838308012945</v>
      </c>
      <c r="K31" s="4">
        <v>1068.578196600158</v>
      </c>
      <c r="L31" s="4">
        <v>5.5674160276022643E-2</v>
      </c>
      <c r="M31" s="4">
        <v>6.787639596530877E-2</v>
      </c>
      <c r="N31" s="4">
        <v>101.1037545224506</v>
      </c>
      <c r="O31" s="4">
        <v>11.911798024732519</v>
      </c>
      <c r="P31" s="4">
        <v>4.3892442872829382E-2</v>
      </c>
      <c r="Q31" s="4">
        <v>5.1713006780292753E-3</v>
      </c>
      <c r="R31" s="4">
        <v>1796.8832398161951</v>
      </c>
      <c r="S31" s="4">
        <v>299.48199160759168</v>
      </c>
      <c r="T31" s="4">
        <v>2.9914535632498442E-2</v>
      </c>
      <c r="U31" s="4">
        <v>4.9857801056418724E-3</v>
      </c>
      <c r="V31" s="4">
        <v>8729.4615584973471</v>
      </c>
      <c r="W31" s="4">
        <v>1982.2110270882999</v>
      </c>
      <c r="X31" s="4">
        <v>8.5870334715737892E-2</v>
      </c>
      <c r="Y31" s="4">
        <v>1.9498696824847318E-2</v>
      </c>
      <c r="Z31" s="4">
        <v>173.76177556992451</v>
      </c>
      <c r="AA31" s="4">
        <v>72.83343288033501</v>
      </c>
      <c r="AB31" s="4">
        <v>1.9212991088255461E-2</v>
      </c>
      <c r="AC31" s="4">
        <v>8.0532562024483289E-3</v>
      </c>
    </row>
    <row r="32" spans="1:29" x14ac:dyDescent="0.25">
      <c r="A32" s="14" t="s">
        <v>92</v>
      </c>
      <c r="B32" s="4">
        <v>1641.664721629719</v>
      </c>
      <c r="C32" s="4">
        <v>2605.3567218644712</v>
      </c>
      <c r="D32" s="4">
        <v>4.0279377103795118E-3</v>
      </c>
      <c r="E32" s="4">
        <v>6.3924225517685467E-3</v>
      </c>
      <c r="F32" s="20">
        <v>1.6290253829816091E-6</v>
      </c>
      <c r="G32" s="20">
        <v>2.8515380084047651E-5</v>
      </c>
      <c r="H32" s="4">
        <v>1.0000902953733371E-2</v>
      </c>
      <c r="I32" s="4">
        <v>0.17506145201213319</v>
      </c>
      <c r="J32" s="4">
        <v>44.005951167465099</v>
      </c>
      <c r="K32" s="4">
        <v>17987.326034850052</v>
      </c>
      <c r="L32" s="4">
        <v>2.7952707399199988E-3</v>
      </c>
      <c r="M32" s="4">
        <v>1.1425601497233551</v>
      </c>
      <c r="N32" s="4">
        <v>68.37957157244783</v>
      </c>
      <c r="O32" s="4">
        <v>36.935370514051478</v>
      </c>
      <c r="P32" s="4">
        <v>2.9685805963276579E-2</v>
      </c>
      <c r="Q32" s="4">
        <v>1.603485100956167E-2</v>
      </c>
      <c r="R32" s="4">
        <v>1722.1431186229461</v>
      </c>
      <c r="S32" s="4">
        <v>281.38244406587108</v>
      </c>
      <c r="T32" s="4">
        <v>2.8670261119235461E-2</v>
      </c>
      <c r="U32" s="4">
        <v>4.6844586019006021E-3</v>
      </c>
      <c r="V32" s="4">
        <v>1198.5472017914319</v>
      </c>
      <c r="W32" s="4">
        <v>2676.290795804839</v>
      </c>
      <c r="X32" s="4">
        <v>1.1789919538652219E-2</v>
      </c>
      <c r="Y32" s="4">
        <v>2.6326249894382869E-2</v>
      </c>
      <c r="Z32" s="4">
        <v>36.103277875595367</v>
      </c>
      <c r="AA32" s="4">
        <v>8.1008127227637097</v>
      </c>
      <c r="AB32" s="4">
        <v>3.9919709257430326E-3</v>
      </c>
      <c r="AC32" s="4">
        <v>8.9571392867963224E-4</v>
      </c>
    </row>
    <row r="33" spans="1:29" x14ac:dyDescent="0.25">
      <c r="A33" s="14" t="s">
        <v>93</v>
      </c>
      <c r="B33" s="4">
        <v>930977.76165632869</v>
      </c>
      <c r="C33" s="4">
        <v>2939978.874941871</v>
      </c>
      <c r="D33" s="4">
        <v>2.2842181989374799</v>
      </c>
      <c r="E33" s="4">
        <v>7.2134411016286011</v>
      </c>
      <c r="F33" s="20">
        <v>1.8124951264298481E-4</v>
      </c>
      <c r="G33" s="20">
        <v>7.0840862600465523E-5</v>
      </c>
      <c r="H33" s="4">
        <v>1.112725931278153</v>
      </c>
      <c r="I33" s="4">
        <v>0.43490580283610852</v>
      </c>
      <c r="J33" s="4">
        <v>18112.145057440139</v>
      </c>
      <c r="K33" s="4">
        <v>212505.0288456608</v>
      </c>
      <c r="L33" s="4">
        <v>1.150488690122442</v>
      </c>
      <c r="M33" s="4">
        <v>13.49838086575207</v>
      </c>
      <c r="N33" s="4">
        <v>4132.0247279364448</v>
      </c>
      <c r="O33" s="4">
        <v>930.92729318706972</v>
      </c>
      <c r="P33" s="4">
        <v>1.7938469266222541</v>
      </c>
      <c r="Q33" s="4">
        <v>0.4041459511367389</v>
      </c>
      <c r="R33" s="4">
        <v>99492.117967869199</v>
      </c>
      <c r="S33" s="4">
        <v>5695.396760868065</v>
      </c>
      <c r="T33" s="4">
        <v>1.6563460786728721</v>
      </c>
      <c r="U33" s="4">
        <v>9.4817039621134053E-2</v>
      </c>
      <c r="V33" s="4">
        <v>219272.2557222484</v>
      </c>
      <c r="W33" s="4">
        <v>252069.1748026002</v>
      </c>
      <c r="X33" s="4">
        <v>2.1569465500900251</v>
      </c>
      <c r="Y33" s="4">
        <v>2.479564663498564</v>
      </c>
      <c r="Z33" s="4">
        <v>23083.160754489742</v>
      </c>
      <c r="AA33" s="4">
        <v>11699.195892262031</v>
      </c>
      <c r="AB33" s="4">
        <v>2.5523252188816961</v>
      </c>
      <c r="AC33" s="4">
        <v>1.293590294416229</v>
      </c>
    </row>
    <row r="34" spans="1:29" x14ac:dyDescent="0.25">
      <c r="A34" s="14" t="s">
        <v>94</v>
      </c>
      <c r="B34" s="4">
        <v>154500.99768075009</v>
      </c>
      <c r="C34" s="4">
        <v>6713.598001665343</v>
      </c>
      <c r="D34" s="4">
        <v>0.37907886223671722</v>
      </c>
      <c r="E34" s="4">
        <v>1.647227610299817E-2</v>
      </c>
      <c r="F34" s="20">
        <v>5.1555303765678982E-5</v>
      </c>
      <c r="G34" s="20">
        <v>5.7374312907701149E-6</v>
      </c>
      <c r="H34" s="4">
        <v>0.31650801460631461</v>
      </c>
      <c r="I34" s="4">
        <v>3.5223204096232863E-2</v>
      </c>
      <c r="J34" s="4">
        <v>5523.2730893696271</v>
      </c>
      <c r="K34" s="4">
        <v>511.97245645585127</v>
      </c>
      <c r="L34" s="4">
        <v>0.35083990337009241</v>
      </c>
      <c r="M34" s="4">
        <v>3.2520638441149358E-2</v>
      </c>
      <c r="N34" s="4">
        <v>745.09126657948127</v>
      </c>
      <c r="O34" s="4">
        <v>67.479020872535884</v>
      </c>
      <c r="P34" s="4">
        <v>0.32346846076939628</v>
      </c>
      <c r="Q34" s="4">
        <v>2.9294847483676351E-2</v>
      </c>
      <c r="R34" s="4">
        <v>21347.34237601747</v>
      </c>
      <c r="S34" s="4">
        <v>55.294048789656109</v>
      </c>
      <c r="T34" s="4">
        <v>0.3553908345384984</v>
      </c>
      <c r="U34" s="4">
        <v>9.2053604604407882E-4</v>
      </c>
      <c r="V34" s="4">
        <v>62452.940290576189</v>
      </c>
      <c r="W34" s="4">
        <v>12150.638388228061</v>
      </c>
      <c r="X34" s="4">
        <v>0.61433971050751834</v>
      </c>
      <c r="Y34" s="4">
        <v>0.1195239108867375</v>
      </c>
      <c r="Z34" s="4">
        <v>6352.0259580208894</v>
      </c>
      <c r="AA34" s="4">
        <v>51722.041858550241</v>
      </c>
      <c r="AB34" s="4">
        <v>0.70234905072497555</v>
      </c>
      <c r="AC34" s="4">
        <v>5.7189512827854756</v>
      </c>
    </row>
    <row r="35" spans="1:29" x14ac:dyDescent="0.25">
      <c r="A35" s="14" t="s">
        <v>95</v>
      </c>
      <c r="B35" s="4">
        <v>233413.92748092621</v>
      </c>
      <c r="C35" s="4">
        <v>97370.245648623168</v>
      </c>
      <c r="D35" s="4">
        <v>0.57269718246419776</v>
      </c>
      <c r="E35" s="4">
        <v>0.23890461867734991</v>
      </c>
      <c r="F35" s="20">
        <v>6.2511997370913341E-5</v>
      </c>
      <c r="G35" s="20">
        <v>4.8021187506808657E-5</v>
      </c>
      <c r="H35" s="4">
        <v>0.38377328289770313</v>
      </c>
      <c r="I35" s="4">
        <v>0.29481138906480059</v>
      </c>
      <c r="J35" s="4">
        <v>5649.3349535058551</v>
      </c>
      <c r="K35" s="4">
        <v>7039.7937891635447</v>
      </c>
      <c r="L35" s="4">
        <v>0.35884738942348532</v>
      </c>
      <c r="M35" s="4">
        <v>0.44716973663480353</v>
      </c>
      <c r="N35" s="4">
        <v>864.92975744975797</v>
      </c>
      <c r="O35" s="4">
        <v>1494.74872995954</v>
      </c>
      <c r="P35" s="4">
        <v>0.37549426475001602</v>
      </c>
      <c r="Q35" s="4">
        <v>0.64891925674644224</v>
      </c>
      <c r="R35" s="4">
        <v>17380.24605822891</v>
      </c>
      <c r="S35" s="4">
        <v>13469.04427298506</v>
      </c>
      <c r="T35" s="4">
        <v>0.28934656325452868</v>
      </c>
      <c r="U35" s="4">
        <v>0.22423282487799581</v>
      </c>
      <c r="V35" s="4">
        <v>53381.758335447637</v>
      </c>
      <c r="W35" s="4">
        <v>38694.280786405361</v>
      </c>
      <c r="X35" s="4">
        <v>0.52510792621768254</v>
      </c>
      <c r="Y35" s="4">
        <v>0.3806295291465065</v>
      </c>
      <c r="Z35" s="4">
        <v>4210.9659912117213</v>
      </c>
      <c r="AA35" s="4">
        <v>1607.7319350043549</v>
      </c>
      <c r="AB35" s="4">
        <v>0.4656101826580385</v>
      </c>
      <c r="AC35" s="4">
        <v>0.1777683223955778</v>
      </c>
    </row>
    <row r="36" spans="1:29" x14ac:dyDescent="0.25">
      <c r="A36" s="14" t="s">
        <v>96</v>
      </c>
      <c r="B36" s="4">
        <v>9929801.206812067</v>
      </c>
      <c r="C36" s="4">
        <v>6381424.484926899</v>
      </c>
      <c r="D36" s="4">
        <v>24.36345266516096</v>
      </c>
      <c r="E36" s="4">
        <v>15.657265451412799</v>
      </c>
      <c r="F36" s="20">
        <v>4.101969627650884E-3</v>
      </c>
      <c r="G36" s="20">
        <v>5.0336525014566316E-4</v>
      </c>
      <c r="H36" s="4">
        <v>25.182787569714279</v>
      </c>
      <c r="I36" s="4">
        <v>3.0902569533781992</v>
      </c>
      <c r="J36" s="4">
        <v>455095.23970827903</v>
      </c>
      <c r="K36" s="4">
        <v>67957.617592688242</v>
      </c>
      <c r="L36" s="4">
        <v>28.907781190602741</v>
      </c>
      <c r="M36" s="4">
        <v>4.3166875154821556</v>
      </c>
      <c r="N36" s="4">
        <v>31889.53773742916</v>
      </c>
      <c r="O36" s="4">
        <v>28709.365618962689</v>
      </c>
      <c r="P36" s="4">
        <v>13.84429015512212</v>
      </c>
      <c r="Q36" s="4">
        <v>12.463673543059921</v>
      </c>
      <c r="R36" s="4">
        <v>750732.75044381968</v>
      </c>
      <c r="S36" s="4">
        <v>937725.25291201065</v>
      </c>
      <c r="T36" s="4">
        <v>12.498208629255419</v>
      </c>
      <c r="U36" s="4">
        <v>15.611262251296511</v>
      </c>
      <c r="V36" s="4">
        <v>1432158.16921758</v>
      </c>
      <c r="W36" s="4">
        <v>1928255.7898501509</v>
      </c>
      <c r="X36" s="4">
        <v>14.087913731275</v>
      </c>
      <c r="Y36" s="4">
        <v>18.967947677232718</v>
      </c>
      <c r="Z36" s="4">
        <v>115577.05690835739</v>
      </c>
      <c r="AA36" s="4">
        <v>164479.33470403089</v>
      </c>
      <c r="AB36" s="4">
        <v>12.77945599429875</v>
      </c>
      <c r="AC36" s="4">
        <v>18.186623505116302</v>
      </c>
    </row>
    <row r="37" spans="1:29" x14ac:dyDescent="0.25">
      <c r="A37" s="14" t="s">
        <v>97</v>
      </c>
      <c r="B37" s="4">
        <v>66431.767187390098</v>
      </c>
      <c r="C37" s="4">
        <v>372762.80364942708</v>
      </c>
      <c r="D37" s="4">
        <v>0.1629949262451135</v>
      </c>
      <c r="E37" s="4">
        <v>0.9145992686958524</v>
      </c>
      <c r="F37" s="20">
        <v>3.0752872086930231E-5</v>
      </c>
      <c r="G37" s="20">
        <v>5.7758226299651603E-5</v>
      </c>
      <c r="H37" s="4">
        <v>0.18879784962407631</v>
      </c>
      <c r="I37" s="4">
        <v>0.35458895977749633</v>
      </c>
      <c r="J37" s="4">
        <v>2673.4439362767712</v>
      </c>
      <c r="K37" s="4">
        <v>3266.8708570946669</v>
      </c>
      <c r="L37" s="4">
        <v>0.16981793170320139</v>
      </c>
      <c r="M37" s="4">
        <v>0.2075125812684511</v>
      </c>
      <c r="N37" s="4">
        <v>697.44511458415036</v>
      </c>
      <c r="O37" s="4">
        <v>606.85354852052683</v>
      </c>
      <c r="P37" s="4">
        <v>0.30278370960023149</v>
      </c>
      <c r="Q37" s="4">
        <v>0.26345495116797368</v>
      </c>
      <c r="R37" s="4">
        <v>15752.61400509914</v>
      </c>
      <c r="S37" s="4">
        <v>2527.2898702130278</v>
      </c>
      <c r="T37" s="4">
        <v>0.26224972358734622</v>
      </c>
      <c r="U37" s="4">
        <v>4.2074354749879833E-2</v>
      </c>
      <c r="V37" s="4">
        <v>14503.07078055272</v>
      </c>
      <c r="W37" s="4">
        <v>8244.1830537396017</v>
      </c>
      <c r="X37" s="4">
        <v>0.1426644168127221</v>
      </c>
      <c r="Y37" s="4">
        <v>8.1096726703988611E-2</v>
      </c>
      <c r="Z37" s="4">
        <v>906.26698104437116</v>
      </c>
      <c r="AA37" s="4">
        <v>334.03591352239278</v>
      </c>
      <c r="AB37" s="4">
        <v>0.10020673058430379</v>
      </c>
      <c r="AC37" s="4">
        <v>3.6934642320573953E-2</v>
      </c>
    </row>
    <row r="38" spans="1:29" x14ac:dyDescent="0.25">
      <c r="A38" s="14" t="s">
        <v>98</v>
      </c>
      <c r="B38" s="4">
        <v>26524.835801252451</v>
      </c>
      <c r="C38" s="4">
        <v>81065.048932997088</v>
      </c>
      <c r="D38" s="4">
        <v>6.5080515514414142E-2</v>
      </c>
      <c r="E38" s="4">
        <v>0.198898693069819</v>
      </c>
      <c r="F38" s="20">
        <v>1.708345353388189E-5</v>
      </c>
      <c r="G38" s="20">
        <v>3.240943030862524E-5</v>
      </c>
      <c r="H38" s="4">
        <v>0.1048786364484138</v>
      </c>
      <c r="I38" s="4">
        <v>0.19896778201767609</v>
      </c>
      <c r="J38" s="4">
        <v>1030.1214680588321</v>
      </c>
      <c r="K38" s="4">
        <v>1782.3693635209829</v>
      </c>
      <c r="L38" s="4">
        <v>6.5433613450836259E-2</v>
      </c>
      <c r="M38" s="4">
        <v>0.11321661723934121</v>
      </c>
      <c r="N38" s="4">
        <v>492.60639906877299</v>
      </c>
      <c r="O38" s="4">
        <v>198.3300431540296</v>
      </c>
      <c r="P38" s="4">
        <v>0.21385653116487491</v>
      </c>
      <c r="Q38" s="4">
        <v>8.6101551126580592E-2</v>
      </c>
      <c r="R38" s="4">
        <v>9426.5447340893297</v>
      </c>
      <c r="S38" s="4">
        <v>672.90332658080774</v>
      </c>
      <c r="T38" s="4">
        <v>0.15693323978474019</v>
      </c>
      <c r="U38" s="4">
        <v>1.120250336481928E-2</v>
      </c>
      <c r="V38" s="4">
        <v>7266.0825148447484</v>
      </c>
      <c r="W38" s="4">
        <v>10190.37311485313</v>
      </c>
      <c r="X38" s="4">
        <v>7.1475306173327341E-2</v>
      </c>
      <c r="Y38" s="4">
        <v>0.1002410909752975</v>
      </c>
      <c r="Z38" s="4">
        <v>458.38665789972458</v>
      </c>
      <c r="AA38" s="4">
        <v>67.422927710628755</v>
      </c>
      <c r="AB38" s="4">
        <v>5.0684212591154978E-2</v>
      </c>
      <c r="AC38" s="4">
        <v>7.4550119265276186E-3</v>
      </c>
    </row>
    <row r="39" spans="1:29" x14ac:dyDescent="0.25">
      <c r="A39" s="14" t="s">
        <v>99</v>
      </c>
      <c r="B39" s="4">
        <v>64123.295080174939</v>
      </c>
      <c r="C39" s="4">
        <v>259.7969483178843</v>
      </c>
      <c r="D39" s="4">
        <v>0.1573309305878392</v>
      </c>
      <c r="E39" s="4">
        <v>6.3742974517494162E-4</v>
      </c>
      <c r="F39" s="20">
        <v>2.4730561108025971E-5</v>
      </c>
      <c r="G39" s="20">
        <v>1.6841485301031481E-5</v>
      </c>
      <c r="H39" s="4">
        <v>0.15182571383882049</v>
      </c>
      <c r="I39" s="4">
        <v>0.1033931465107468</v>
      </c>
      <c r="J39" s="4">
        <v>3037.219737107368</v>
      </c>
      <c r="K39" s="4">
        <v>1689.3159234884879</v>
      </c>
      <c r="L39" s="4">
        <v>0.1929250757365866</v>
      </c>
      <c r="M39" s="4">
        <v>0.1073058358274844</v>
      </c>
      <c r="N39" s="4">
        <v>379.18096774690213</v>
      </c>
      <c r="O39" s="4">
        <v>118.33836886473451</v>
      </c>
      <c r="P39" s="4">
        <v>0.1646148458472862</v>
      </c>
      <c r="Q39" s="4">
        <v>5.1374552009399249E-2</v>
      </c>
      <c r="R39" s="4">
        <v>9195.2751179072184</v>
      </c>
      <c r="S39" s="4">
        <v>745.21932816361334</v>
      </c>
      <c r="T39" s="4">
        <v>0.153083060195608</v>
      </c>
      <c r="U39" s="4">
        <v>1.240642110316378E-2</v>
      </c>
      <c r="V39" s="4">
        <v>23538.475222276251</v>
      </c>
      <c r="W39" s="4">
        <v>16060.872746810481</v>
      </c>
      <c r="X39" s="4">
        <v>0.23154426335350009</v>
      </c>
      <c r="Y39" s="4">
        <v>0.15798826873268121</v>
      </c>
      <c r="Z39" s="4">
        <v>1204.2193793723479</v>
      </c>
      <c r="AA39" s="4">
        <v>891.21396613664513</v>
      </c>
      <c r="AB39" s="4">
        <v>0.1331515871560307</v>
      </c>
      <c r="AC39" s="4">
        <v>9.8542305595983315E-2</v>
      </c>
    </row>
    <row r="40" spans="1:29" x14ac:dyDescent="0.25">
      <c r="A40" s="14" t="s">
        <v>100</v>
      </c>
      <c r="B40" s="4">
        <v>11617.892241572699</v>
      </c>
      <c r="C40" s="4">
        <v>3393.1537780057938</v>
      </c>
      <c r="D40" s="4">
        <v>2.850530053938213E-2</v>
      </c>
      <c r="E40" s="4">
        <v>8.3253370066808108E-3</v>
      </c>
      <c r="F40" s="20">
        <v>8.8773449527826416E-6</v>
      </c>
      <c r="G40" s="20">
        <v>1.0536347811263941E-4</v>
      </c>
      <c r="H40" s="4">
        <v>5.4499743396936549E-2</v>
      </c>
      <c r="I40" s="4">
        <v>0.64684683890171979</v>
      </c>
      <c r="J40" s="4">
        <v>819.01136876142903</v>
      </c>
      <c r="K40" s="4">
        <v>18056.050934472161</v>
      </c>
      <c r="L40" s="4">
        <v>5.2023838913252289E-2</v>
      </c>
      <c r="M40" s="4">
        <v>1.146925575215161</v>
      </c>
      <c r="N40" s="4">
        <v>91.058257059411559</v>
      </c>
      <c r="O40" s="4">
        <v>2.330368597274207</v>
      </c>
      <c r="P40" s="4">
        <v>3.9531364240208637E-2</v>
      </c>
      <c r="Q40" s="4">
        <v>1.01168914064196E-3</v>
      </c>
      <c r="R40" s="4">
        <v>1944.3224153586279</v>
      </c>
      <c r="S40" s="4">
        <v>0.78536309050669906</v>
      </c>
      <c r="T40" s="4">
        <v>3.2369104951560847E-2</v>
      </c>
      <c r="U40" s="4">
        <v>1.307473498267753E-5</v>
      </c>
      <c r="V40" s="4">
        <v>3220.7474858441169</v>
      </c>
      <c r="W40" s="4">
        <v>9872.1186665586629</v>
      </c>
      <c r="X40" s="4">
        <v>3.1681984368794519E-2</v>
      </c>
      <c r="Y40" s="4">
        <v>9.7110472229034003E-2</v>
      </c>
      <c r="Z40" s="4">
        <v>155.78039597929899</v>
      </c>
      <c r="AA40" s="4">
        <v>20.423116357916982</v>
      </c>
      <c r="AB40" s="4">
        <v>1.7224774262684411E-2</v>
      </c>
      <c r="AC40" s="4">
        <v>2.2582017897322861E-3</v>
      </c>
    </row>
    <row r="41" spans="1:29" x14ac:dyDescent="0.25">
      <c r="A41" s="14" t="s">
        <v>101</v>
      </c>
      <c r="B41" s="4">
        <v>436279.62701690552</v>
      </c>
      <c r="C41" s="4">
        <v>96140.308189970252</v>
      </c>
      <c r="D41" s="4">
        <v>1.0704421790748979</v>
      </c>
      <c r="E41" s="4">
        <v>0.2358868822261467</v>
      </c>
      <c r="F41" s="20">
        <v>9.3086511950414105E-5</v>
      </c>
      <c r="G41" s="20">
        <v>4.6468511323041739E-4</v>
      </c>
      <c r="H41" s="4">
        <v>0.57147616117172773</v>
      </c>
      <c r="I41" s="4">
        <v>2.8527920866132228</v>
      </c>
      <c r="J41" s="4">
        <v>6026.5305606456895</v>
      </c>
      <c r="K41" s="4">
        <v>5760.0801897154506</v>
      </c>
      <c r="L41" s="4">
        <v>0.38280696343319021</v>
      </c>
      <c r="M41" s="4">
        <v>0.36588195884306601</v>
      </c>
      <c r="N41" s="4">
        <v>1449.8087135399401</v>
      </c>
      <c r="O41" s="4">
        <v>233.0718812244902</v>
      </c>
      <c r="P41" s="4">
        <v>0.62940932743948175</v>
      </c>
      <c r="Q41" s="4">
        <v>0.1011841180402175</v>
      </c>
      <c r="R41" s="4">
        <v>24716.027824190689</v>
      </c>
      <c r="S41" s="4">
        <v>464.50369135086152</v>
      </c>
      <c r="T41" s="4">
        <v>0.41147275385361481</v>
      </c>
      <c r="U41" s="4">
        <v>7.7330635171174384E-3</v>
      </c>
      <c r="V41" s="4">
        <v>41196.409969109613</v>
      </c>
      <c r="W41" s="4">
        <v>47133.486187453847</v>
      </c>
      <c r="X41" s="4">
        <v>0.40524257875798952</v>
      </c>
      <c r="Y41" s="4">
        <v>0.463644659881287</v>
      </c>
      <c r="Z41" s="4">
        <v>5077.8981626794694</v>
      </c>
      <c r="AA41" s="4">
        <v>1165.986991395554</v>
      </c>
      <c r="AB41" s="4">
        <v>0.56146762903771719</v>
      </c>
      <c r="AC41" s="4">
        <v>0.12892419866928451</v>
      </c>
    </row>
    <row r="42" spans="1:29" x14ac:dyDescent="0.25">
      <c r="A42" s="14" t="s">
        <v>102</v>
      </c>
      <c r="B42" s="4">
        <v>47281.09779035837</v>
      </c>
      <c r="C42" s="4">
        <v>64445.785327670586</v>
      </c>
      <c r="D42" s="4">
        <v>0.11600743700508249</v>
      </c>
      <c r="E42" s="4">
        <v>0.15812218266995001</v>
      </c>
      <c r="F42" s="20">
        <v>2.3711992616862451E-5</v>
      </c>
      <c r="G42" s="20">
        <v>1.053869025754683E-4</v>
      </c>
      <c r="H42" s="4">
        <v>0.1455725242088268</v>
      </c>
      <c r="I42" s="4">
        <v>0.64699064622476232</v>
      </c>
      <c r="J42" s="4">
        <v>1031.0660070344691</v>
      </c>
      <c r="K42" s="4">
        <v>828.32883070356797</v>
      </c>
      <c r="L42" s="4">
        <v>6.5493610839627223E-2</v>
      </c>
      <c r="M42" s="4">
        <v>5.2615686789419427E-2</v>
      </c>
      <c r="N42" s="4">
        <v>273.3877644993587</v>
      </c>
      <c r="O42" s="4">
        <v>1727.6872428198981</v>
      </c>
      <c r="P42" s="4">
        <v>0.1186865600797649</v>
      </c>
      <c r="Q42" s="4">
        <v>0.75004547522267873</v>
      </c>
      <c r="R42" s="4">
        <v>6024.5557774640847</v>
      </c>
      <c r="S42" s="4">
        <v>4978.9554561656678</v>
      </c>
      <c r="T42" s="4">
        <v>0.1002968832261793</v>
      </c>
      <c r="U42" s="4">
        <v>8.2889715428213301E-2</v>
      </c>
      <c r="V42" s="4">
        <v>7956.66245568063</v>
      </c>
      <c r="W42" s="4">
        <v>5664.5024214028172</v>
      </c>
      <c r="X42" s="4">
        <v>7.8268431988725212E-2</v>
      </c>
      <c r="Y42" s="4">
        <v>5.5720815730093763E-2</v>
      </c>
      <c r="Z42" s="4">
        <v>882.06125178183527</v>
      </c>
      <c r="AA42" s="4">
        <v>530.15832123668611</v>
      </c>
      <c r="AB42" s="4">
        <v>9.7530281986328474E-2</v>
      </c>
      <c r="AC42" s="4">
        <v>5.8620068009065357E-2</v>
      </c>
    </row>
    <row r="43" spans="1:29" x14ac:dyDescent="0.25">
      <c r="A43" s="14" t="s">
        <v>103</v>
      </c>
      <c r="B43" s="4">
        <v>26653.818733898261</v>
      </c>
      <c r="C43" s="4">
        <v>17267.226256164649</v>
      </c>
      <c r="D43" s="4">
        <v>6.5396984042703901E-2</v>
      </c>
      <c r="E43" s="4">
        <v>4.2366331489304111E-2</v>
      </c>
      <c r="F43" s="20">
        <v>1.7523094032274851E-5</v>
      </c>
      <c r="G43" s="20">
        <v>1.598387719731524E-4</v>
      </c>
      <c r="H43" s="4">
        <v>0.1075776747843982</v>
      </c>
      <c r="I43" s="4">
        <v>0.98128123935160416</v>
      </c>
      <c r="J43" s="4">
        <v>777.7951171943954</v>
      </c>
      <c r="K43" s="4">
        <v>885.63756532792843</v>
      </c>
      <c r="L43" s="4">
        <v>4.9405770698431169E-2</v>
      </c>
      <c r="M43" s="4">
        <v>5.6255954180247938E-2</v>
      </c>
      <c r="N43" s="4">
        <v>152.29582514212251</v>
      </c>
      <c r="O43" s="4">
        <v>376.35219524199817</v>
      </c>
      <c r="P43" s="4">
        <v>6.6116593161104312E-2</v>
      </c>
      <c r="Q43" s="4">
        <v>0.16338678328760989</v>
      </c>
      <c r="R43" s="4">
        <v>2490.7470847133832</v>
      </c>
      <c r="S43" s="4">
        <v>1800.2373147130711</v>
      </c>
      <c r="T43" s="4">
        <v>4.1465989979861881E-2</v>
      </c>
      <c r="U43" s="4">
        <v>2.9970374315164829E-2</v>
      </c>
      <c r="V43" s="4">
        <v>3603.4586532564458</v>
      </c>
      <c r="W43" s="4">
        <v>7967.407594991063</v>
      </c>
      <c r="X43" s="4">
        <v>3.544665368143475E-2</v>
      </c>
      <c r="Y43" s="4">
        <v>7.8374130227152755E-2</v>
      </c>
      <c r="Z43" s="4">
        <v>292.88671607372459</v>
      </c>
      <c r="AA43" s="4">
        <v>73.953028229607796</v>
      </c>
      <c r="AB43" s="4">
        <v>3.2384739666339292E-2</v>
      </c>
      <c r="AC43" s="4">
        <v>8.1770508367830473E-3</v>
      </c>
    </row>
    <row r="44" spans="1:29" x14ac:dyDescent="0.25">
      <c r="A44" s="14" t="s">
        <v>104</v>
      </c>
      <c r="B44" s="4">
        <v>10880.868895558509</v>
      </c>
      <c r="C44" s="4">
        <v>2270.9287607394358</v>
      </c>
      <c r="D44" s="4">
        <v>2.669696288692068E-2</v>
      </c>
      <c r="E44" s="4">
        <v>5.5718804652677111E-3</v>
      </c>
      <c r="F44" s="20">
        <v>8.3290067337248289E-6</v>
      </c>
      <c r="G44" s="20">
        <v>7.1829177741850282E-6</v>
      </c>
      <c r="H44" s="4">
        <v>5.1133388659981481E-2</v>
      </c>
      <c r="I44" s="4">
        <v>4.4097326128086492E-2</v>
      </c>
      <c r="J44" s="4">
        <v>660.96473055716569</v>
      </c>
      <c r="K44" s="4">
        <v>91.524252982918838</v>
      </c>
      <c r="L44" s="4">
        <v>4.1984670764519651E-2</v>
      </c>
      <c r="M44" s="4">
        <v>5.813647008392246E-3</v>
      </c>
      <c r="N44" s="4">
        <v>115.8961154629182</v>
      </c>
      <c r="O44" s="4">
        <v>76.973942394628622</v>
      </c>
      <c r="P44" s="4">
        <v>5.0314290019856711E-2</v>
      </c>
      <c r="Q44" s="4">
        <v>3.3416903113152617E-2</v>
      </c>
      <c r="R44" s="4">
        <v>4359.9755930203919</v>
      </c>
      <c r="S44" s="4">
        <v>5719.2821435617216</v>
      </c>
      <c r="T44" s="4">
        <v>7.2584930586571367E-2</v>
      </c>
      <c r="U44" s="4">
        <v>9.5214683784011503E-2</v>
      </c>
      <c r="V44" s="4">
        <v>7982.9702603814894</v>
      </c>
      <c r="W44" s="4">
        <v>3953.274532704454</v>
      </c>
      <c r="X44" s="4">
        <v>7.8527217708802069E-2</v>
      </c>
      <c r="Y44" s="4">
        <v>3.8887737241490139E-2</v>
      </c>
      <c r="Z44" s="4">
        <v>357.69274699227668</v>
      </c>
      <c r="AA44" s="4">
        <v>328.20387851177031</v>
      </c>
      <c r="AB44" s="4">
        <v>3.9550399031982077E-2</v>
      </c>
      <c r="AC44" s="4">
        <v>3.628978912246425E-2</v>
      </c>
    </row>
    <row r="45" spans="1:29" x14ac:dyDescent="0.25">
      <c r="A45" s="14" t="s">
        <v>105</v>
      </c>
      <c r="B45" s="4">
        <v>79859.066133840897</v>
      </c>
      <c r="C45" s="4">
        <v>6511.8561239774344</v>
      </c>
      <c r="D45" s="4">
        <v>0.19593973102916071</v>
      </c>
      <c r="E45" s="4">
        <v>1.5977288480863491E-2</v>
      </c>
      <c r="F45" s="20">
        <v>4.7132466440494141E-5</v>
      </c>
      <c r="G45" s="20">
        <v>4.7547123668384971E-6</v>
      </c>
      <c r="H45" s="4">
        <v>0.28935535797406198</v>
      </c>
      <c r="I45" s="4">
        <v>2.9190101916419652E-2</v>
      </c>
      <c r="J45" s="4">
        <v>4276.1251726430082</v>
      </c>
      <c r="K45" s="4">
        <v>2293.760929641197</v>
      </c>
      <c r="L45" s="4">
        <v>0.27162070715929693</v>
      </c>
      <c r="M45" s="4">
        <v>0.1457003573584402</v>
      </c>
      <c r="N45" s="4">
        <v>521.27607454381382</v>
      </c>
      <c r="O45" s="4">
        <v>128.7572409033379</v>
      </c>
      <c r="P45" s="4">
        <v>0.22630297391979121</v>
      </c>
      <c r="Q45" s="4">
        <v>5.5897724743327458E-2</v>
      </c>
      <c r="R45" s="4">
        <v>11699.618304173369</v>
      </c>
      <c r="S45" s="4">
        <v>221.20293062996279</v>
      </c>
      <c r="T45" s="4">
        <v>0.1947753982516004</v>
      </c>
      <c r="U45" s="4">
        <v>3.6825892766521539E-3</v>
      </c>
      <c r="V45" s="4">
        <v>36045.565734955802</v>
      </c>
      <c r="W45" s="4">
        <v>35849.466704445178</v>
      </c>
      <c r="X45" s="4">
        <v>0.35457453749433648</v>
      </c>
      <c r="Y45" s="4">
        <v>0.35264554230092893</v>
      </c>
      <c r="Z45" s="4">
        <v>4637.5411730526384</v>
      </c>
      <c r="AA45" s="4">
        <v>4657.3613391498702</v>
      </c>
      <c r="AB45" s="4">
        <v>0.51277697259385124</v>
      </c>
      <c r="AC45" s="4">
        <v>0.51496850564733709</v>
      </c>
    </row>
    <row r="46" spans="1:29" x14ac:dyDescent="0.25">
      <c r="A46" s="14" t="s">
        <v>106</v>
      </c>
      <c r="B46" s="4">
        <v>1431500.484030711</v>
      </c>
      <c r="C46" s="4">
        <v>109998.31662376929</v>
      </c>
      <c r="D46" s="4">
        <v>3.5122852468497889</v>
      </c>
      <c r="E46" s="4">
        <v>0.26988846246711301</v>
      </c>
      <c r="F46" s="20">
        <v>4.3660060120128032E-4</v>
      </c>
      <c r="G46" s="20">
        <v>2.8272129186155269E-5</v>
      </c>
      <c r="H46" s="4">
        <v>2.680375817204161</v>
      </c>
      <c r="I46" s="4">
        <v>0.1735680875448605</v>
      </c>
      <c r="J46" s="4">
        <v>39411.035374926483</v>
      </c>
      <c r="K46" s="4">
        <v>10972.915462016539</v>
      </c>
      <c r="L46" s="4">
        <v>2.5034003604251569</v>
      </c>
      <c r="M46" s="4">
        <v>0.69700276232791614</v>
      </c>
      <c r="N46" s="4">
        <v>6386.7089626590414</v>
      </c>
      <c r="O46" s="4">
        <v>1091.2352144549841</v>
      </c>
      <c r="P46" s="4">
        <v>2.77267901289117</v>
      </c>
      <c r="Q46" s="4">
        <v>0.47374085697924673</v>
      </c>
      <c r="R46" s="4">
        <v>190464.48367558219</v>
      </c>
      <c r="S46" s="4">
        <v>1407.656876091912</v>
      </c>
      <c r="T46" s="4">
        <v>3.170855210504071</v>
      </c>
      <c r="U46" s="4">
        <v>2.3434690048358599E-2</v>
      </c>
      <c r="V46" s="4">
        <v>408267.08808548731</v>
      </c>
      <c r="W46" s="4">
        <v>190823.76175513599</v>
      </c>
      <c r="X46" s="4">
        <v>4.0160588682808962</v>
      </c>
      <c r="Y46" s="4">
        <v>1.877103207777959</v>
      </c>
      <c r="Z46" s="4">
        <v>52493.420856675431</v>
      </c>
      <c r="AA46" s="4">
        <v>61235.519089906848</v>
      </c>
      <c r="AB46" s="4">
        <v>5.8042433314425326</v>
      </c>
      <c r="AC46" s="4">
        <v>6.7708647583750574</v>
      </c>
    </row>
    <row r="47" spans="1:29" x14ac:dyDescent="0.25">
      <c r="A47" s="14" t="s">
        <v>107</v>
      </c>
      <c r="B47" s="4">
        <v>15196.015246456611</v>
      </c>
      <c r="C47" s="4">
        <v>31149.47792080115</v>
      </c>
      <c r="D47" s="4">
        <v>3.7284472311704051E-2</v>
      </c>
      <c r="E47" s="4">
        <v>7.6427394170518415E-2</v>
      </c>
      <c r="F47" s="20">
        <v>6.1337076471661198E-6</v>
      </c>
      <c r="G47" s="20">
        <v>1.2757493538620171E-6</v>
      </c>
      <c r="H47" s="4">
        <v>3.7656021549280647E-2</v>
      </c>
      <c r="I47" s="4">
        <v>7.8320728544511147E-3</v>
      </c>
      <c r="J47" s="4">
        <v>400.64424285066468</v>
      </c>
      <c r="K47" s="4">
        <v>162.65547846005171</v>
      </c>
      <c r="L47" s="4">
        <v>2.5449038128866699E-2</v>
      </c>
      <c r="M47" s="4">
        <v>1.0331923014158549E-2</v>
      </c>
      <c r="N47" s="4">
        <v>289.68087533395908</v>
      </c>
      <c r="O47" s="4">
        <v>1.949190648275096</v>
      </c>
      <c r="P47" s="4">
        <v>0.12575993178496281</v>
      </c>
      <c r="Q47" s="4">
        <v>8.4620733999220656E-4</v>
      </c>
      <c r="R47" s="4">
        <v>8048.3115821198708</v>
      </c>
      <c r="S47" s="4">
        <v>41.059788724796782</v>
      </c>
      <c r="T47" s="4">
        <v>0.13398839627966169</v>
      </c>
      <c r="U47" s="4">
        <v>6.8356389867403578E-4</v>
      </c>
      <c r="V47" s="4">
        <v>3762.7948787630862</v>
      </c>
      <c r="W47" s="4">
        <v>1138.352686717622</v>
      </c>
      <c r="X47" s="4">
        <v>3.7014018967931613E-2</v>
      </c>
      <c r="Y47" s="4">
        <v>1.119779560033117E-2</v>
      </c>
      <c r="Z47" s="4">
        <v>223.93346172179051</v>
      </c>
      <c r="AA47" s="4">
        <v>539.89540687087811</v>
      </c>
      <c r="AB47" s="4">
        <v>2.4760518188257051E-2</v>
      </c>
      <c r="AC47" s="4">
        <v>5.9696706060798597E-2</v>
      </c>
    </row>
    <row r="48" spans="1:29" x14ac:dyDescent="0.25">
      <c r="A48" s="14" t="s">
        <v>108</v>
      </c>
      <c r="B48" s="4">
        <v>0</v>
      </c>
      <c r="C48" s="4">
        <v>0</v>
      </c>
      <c r="D48" s="4">
        <v>0</v>
      </c>
      <c r="E48" s="4">
        <v>0</v>
      </c>
      <c r="F48" s="20">
        <v>0</v>
      </c>
      <c r="G48" s="20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</row>
    <row r="49" spans="1:29" x14ac:dyDescent="0.25">
      <c r="A49" s="14" t="s">
        <v>109</v>
      </c>
      <c r="B49" s="4">
        <v>102318.4469023476</v>
      </c>
      <c r="C49" s="4">
        <v>36371.008116667523</v>
      </c>
      <c r="D49" s="4">
        <v>0.25104537200281452</v>
      </c>
      <c r="E49" s="4">
        <v>8.9238778922050704E-2</v>
      </c>
      <c r="F49" s="20">
        <v>2.7265523187430781E-5</v>
      </c>
      <c r="G49" s="20">
        <v>7.5094061434369203E-6</v>
      </c>
      <c r="H49" s="4">
        <v>0.16738833797738359</v>
      </c>
      <c r="I49" s="4">
        <v>4.6101701585045042E-2</v>
      </c>
      <c r="J49" s="4">
        <v>4460.2950482170891</v>
      </c>
      <c r="K49" s="4">
        <v>2104.8358143546088</v>
      </c>
      <c r="L49" s="4">
        <v>0.28331923089777578</v>
      </c>
      <c r="M49" s="4">
        <v>0.13369977941872169</v>
      </c>
      <c r="N49" s="4">
        <v>488.74792705979439</v>
      </c>
      <c r="O49" s="4">
        <v>172.25906842932679</v>
      </c>
      <c r="P49" s="4">
        <v>0.21218144241045189</v>
      </c>
      <c r="Q49" s="4">
        <v>7.4783289266296293E-2</v>
      </c>
      <c r="R49" s="4">
        <v>11859.949542082941</v>
      </c>
      <c r="S49" s="4">
        <v>531.98357989966757</v>
      </c>
      <c r="T49" s="4">
        <v>0.19744459479324031</v>
      </c>
      <c r="U49" s="4">
        <v>8.856469582542572E-3</v>
      </c>
      <c r="V49" s="4">
        <v>39432.078848953519</v>
      </c>
      <c r="W49" s="4">
        <v>15625.645091877041</v>
      </c>
      <c r="X49" s="4">
        <v>0.38788713216807702</v>
      </c>
      <c r="Y49" s="4">
        <v>0.1537070030261726</v>
      </c>
      <c r="Z49" s="4">
        <v>4438.6250559843629</v>
      </c>
      <c r="AA49" s="4">
        <v>5318.3023577492986</v>
      </c>
      <c r="AB49" s="4">
        <v>0.49078264402528071</v>
      </c>
      <c r="AC49" s="4">
        <v>0.58804933057884312</v>
      </c>
    </row>
    <row r="50" spans="1:29" x14ac:dyDescent="0.25">
      <c r="A50" s="14" t="s">
        <v>110</v>
      </c>
      <c r="B50" s="4">
        <v>94193.442852726614</v>
      </c>
      <c r="C50" s="4">
        <v>18916.673885513359</v>
      </c>
      <c r="D50" s="4">
        <v>0.23111011373889459</v>
      </c>
      <c r="E50" s="4">
        <v>4.6413365100987147E-2</v>
      </c>
      <c r="F50" s="20">
        <v>3.8800701484895942E-5</v>
      </c>
      <c r="G50" s="20">
        <v>1.6505905538269889E-4</v>
      </c>
      <c r="H50" s="4">
        <v>0.23820503605474111</v>
      </c>
      <c r="I50" s="4">
        <v>1.013329572247623</v>
      </c>
      <c r="J50" s="4">
        <v>2517.3738322302838</v>
      </c>
      <c r="K50" s="4">
        <v>759.97179417807592</v>
      </c>
      <c r="L50" s="4">
        <v>0.15990431357557069</v>
      </c>
      <c r="M50" s="4">
        <v>4.8273628067856809E-2</v>
      </c>
      <c r="N50" s="4">
        <v>408.40973443647931</v>
      </c>
      <c r="O50" s="4">
        <v>1625.475388510707</v>
      </c>
      <c r="P50" s="4">
        <v>0.17730400836380419</v>
      </c>
      <c r="Q50" s="4">
        <v>0.70567197003107962</v>
      </c>
      <c r="R50" s="4">
        <v>7011.4818735528024</v>
      </c>
      <c r="S50" s="4">
        <v>15153.9763169372</v>
      </c>
      <c r="T50" s="4">
        <v>0.1167272417569364</v>
      </c>
      <c r="U50" s="4">
        <v>0.25228359554036822</v>
      </c>
      <c r="V50" s="4">
        <v>15496.460589808121</v>
      </c>
      <c r="W50" s="4">
        <v>12687.8024347429</v>
      </c>
      <c r="X50" s="4">
        <v>0.15243623548130081</v>
      </c>
      <c r="Y50" s="4">
        <v>0.1248079087785192</v>
      </c>
      <c r="Z50" s="4">
        <v>1270.74178462638</v>
      </c>
      <c r="AA50" s="4">
        <v>1020.983328363331</v>
      </c>
      <c r="AB50" s="4">
        <v>0.14050702752905281</v>
      </c>
      <c r="AC50" s="4">
        <v>0.11289101716855</v>
      </c>
    </row>
    <row r="51" spans="1:29" x14ac:dyDescent="0.25">
      <c r="A51" s="14" t="s">
        <v>111</v>
      </c>
      <c r="B51" s="4">
        <v>184801.68426165721</v>
      </c>
      <c r="C51" s="4">
        <v>1292.674497134705</v>
      </c>
      <c r="D51" s="4">
        <v>0.45342368826700707</v>
      </c>
      <c r="E51" s="4">
        <v>3.1716661055406149E-3</v>
      </c>
      <c r="F51" s="20">
        <v>8.3292742002276626E-5</v>
      </c>
      <c r="G51" s="20">
        <v>2.4613412067882778E-7</v>
      </c>
      <c r="H51" s="4">
        <v>0.51135030688746763</v>
      </c>
      <c r="I51" s="4">
        <v>1.5110651314751459E-3</v>
      </c>
      <c r="J51" s="4">
        <v>6690.0520004432756</v>
      </c>
      <c r="K51" s="4">
        <v>134.53594785555811</v>
      </c>
      <c r="L51" s="4">
        <v>0.42495403710778518</v>
      </c>
      <c r="M51" s="4">
        <v>8.5457623010334969E-3</v>
      </c>
      <c r="N51" s="4">
        <v>1282.447355441632</v>
      </c>
      <c r="O51" s="4">
        <v>72.5811153638262</v>
      </c>
      <c r="P51" s="4">
        <v>0.55675229423486472</v>
      </c>
      <c r="Q51" s="4">
        <v>3.1509833386509568E-2</v>
      </c>
      <c r="R51" s="4">
        <v>48865.896272519087</v>
      </c>
      <c r="S51" s="4">
        <v>3241.6342604329411</v>
      </c>
      <c r="T51" s="4">
        <v>0.81352007902737944</v>
      </c>
      <c r="U51" s="4">
        <v>5.3966769483123622E-2</v>
      </c>
      <c r="V51" s="4">
        <v>33082.643625017867</v>
      </c>
      <c r="W51" s="4">
        <v>52120.793336903902</v>
      </c>
      <c r="X51" s="4">
        <v>0.32542874063022548</v>
      </c>
      <c r="Y51" s="4">
        <v>0.51270401266995846</v>
      </c>
      <c r="Z51" s="4">
        <v>2112.500784205014</v>
      </c>
      <c r="AA51" s="4">
        <v>372.97455309084103</v>
      </c>
      <c r="AB51" s="4">
        <v>0.23358105433568491</v>
      </c>
      <c r="AC51" s="4">
        <v>4.1240121661836361E-2</v>
      </c>
    </row>
    <row r="52" spans="1:29" x14ac:dyDescent="0.25">
      <c r="A52" s="14" t="s">
        <v>112</v>
      </c>
      <c r="B52" s="4">
        <v>68953.961583723838</v>
      </c>
      <c r="C52" s="4">
        <v>116421.0916190454</v>
      </c>
      <c r="D52" s="4">
        <v>0.16918330429091519</v>
      </c>
      <c r="E52" s="4">
        <v>0.28564718424988528</v>
      </c>
      <c r="F52" s="20">
        <v>3.1581523169070201E-5</v>
      </c>
      <c r="G52" s="20">
        <v>1.3351031224050221E-4</v>
      </c>
      <c r="H52" s="4">
        <v>0.19388509942482521</v>
      </c>
      <c r="I52" s="4">
        <v>0.81964571576904521</v>
      </c>
      <c r="J52" s="4">
        <v>1724.337686551283</v>
      </c>
      <c r="K52" s="4">
        <v>1033.728237470694</v>
      </c>
      <c r="L52" s="4">
        <v>0.10953042834174</v>
      </c>
      <c r="M52" s="4">
        <v>6.5662716486565409E-2</v>
      </c>
      <c r="N52" s="4">
        <v>300.14952968530127</v>
      </c>
      <c r="O52" s="4">
        <v>132.1501883188769</v>
      </c>
      <c r="P52" s="4">
        <v>0.13030471664722679</v>
      </c>
      <c r="Q52" s="4">
        <v>5.7370714063165122E-2</v>
      </c>
      <c r="R52" s="4">
        <v>5534.4564520675631</v>
      </c>
      <c r="S52" s="4">
        <v>227.73293977819171</v>
      </c>
      <c r="T52" s="4">
        <v>9.2137703259351084E-2</v>
      </c>
      <c r="U52" s="4">
        <v>3.791300954192881E-3</v>
      </c>
      <c r="V52" s="4">
        <v>17848.866259416209</v>
      </c>
      <c r="W52" s="4">
        <v>15709.85040629892</v>
      </c>
      <c r="X52" s="4">
        <v>0.17557647854014269</v>
      </c>
      <c r="Y52" s="4">
        <v>0.1545353174056788</v>
      </c>
      <c r="Z52" s="4">
        <v>1270.223737989174</v>
      </c>
      <c r="AA52" s="4">
        <v>216.08979671861641</v>
      </c>
      <c r="AB52" s="4">
        <v>0.14044974666051141</v>
      </c>
      <c r="AC52" s="4">
        <v>2.3893237307229229E-2</v>
      </c>
    </row>
    <row r="53" spans="1:29" x14ac:dyDescent="0.25">
      <c r="A53" s="14" t="s">
        <v>113</v>
      </c>
      <c r="B53" s="4">
        <v>466806.52229584567</v>
      </c>
      <c r="C53" s="4">
        <v>27784.687652203549</v>
      </c>
      <c r="D53" s="4">
        <v>1.145342023759861</v>
      </c>
      <c r="E53" s="4">
        <v>6.8171648991961042E-2</v>
      </c>
      <c r="F53" s="20">
        <v>1.5770219095952479E-4</v>
      </c>
      <c r="G53" s="20">
        <v>3.6623067210400799E-7</v>
      </c>
      <c r="H53" s="4">
        <v>0.96816435388541888</v>
      </c>
      <c r="I53" s="4">
        <v>2.248361166533206E-3</v>
      </c>
      <c r="J53" s="4">
        <v>16522.474882402501</v>
      </c>
      <c r="K53" s="4">
        <v>483.31332045178408</v>
      </c>
      <c r="L53" s="4">
        <v>1.0495123810433311</v>
      </c>
      <c r="M53" s="4">
        <v>3.0700201837047851E-2</v>
      </c>
      <c r="N53" s="4">
        <v>2192.144367468959</v>
      </c>
      <c r="O53" s="4">
        <v>3802.2248127965172</v>
      </c>
      <c r="P53" s="4">
        <v>0.95168148673212927</v>
      </c>
      <c r="Q53" s="4">
        <v>1.650670008978421</v>
      </c>
      <c r="R53" s="4">
        <v>61338.910196494478</v>
      </c>
      <c r="S53" s="4">
        <v>349258.21962645609</v>
      </c>
      <c r="T53" s="4">
        <v>1.021170977653145</v>
      </c>
      <c r="U53" s="4">
        <v>5.8144553994656389</v>
      </c>
      <c r="V53" s="4">
        <v>64463.532028803616</v>
      </c>
      <c r="W53" s="4">
        <v>65984.70367765773</v>
      </c>
      <c r="X53" s="4">
        <v>0.63411758390570383</v>
      </c>
      <c r="Y53" s="4">
        <v>0.64908110917835282</v>
      </c>
      <c r="Z53" s="4">
        <v>4372.1817865674539</v>
      </c>
      <c r="AA53" s="4">
        <v>1111.732590968981</v>
      </c>
      <c r="AB53" s="4">
        <v>0.48343595377079529</v>
      </c>
      <c r="AC53" s="4">
        <v>0.1229252422907863</v>
      </c>
    </row>
    <row r="54" spans="1:29" x14ac:dyDescent="0.25">
      <c r="A54" s="14" t="s">
        <v>114</v>
      </c>
      <c r="B54" s="4">
        <v>3521.63858697362</v>
      </c>
      <c r="C54" s="4">
        <v>695.74684248829396</v>
      </c>
      <c r="D54" s="4">
        <v>8.6405833541436765E-3</v>
      </c>
      <c r="E54" s="4">
        <v>1.7070629019511621E-3</v>
      </c>
      <c r="F54" s="20">
        <v>6.6581986242762627E-7</v>
      </c>
      <c r="G54" s="20">
        <v>7.0367294820560184E-7</v>
      </c>
      <c r="H54" s="4">
        <v>4.0875973440138661E-3</v>
      </c>
      <c r="I54" s="4">
        <v>4.3199847833501337E-3</v>
      </c>
      <c r="J54" s="4">
        <v>70.789244766313132</v>
      </c>
      <c r="K54" s="4">
        <v>146.54676630152991</v>
      </c>
      <c r="L54" s="4">
        <v>4.4965532921511977E-3</v>
      </c>
      <c r="M54" s="4">
        <v>9.3086929609515635E-3</v>
      </c>
      <c r="N54" s="4">
        <v>34.282588746152683</v>
      </c>
      <c r="O54" s="4">
        <v>3.8578795296328261</v>
      </c>
      <c r="P54" s="4">
        <v>1.48831917783931E-2</v>
      </c>
      <c r="Q54" s="4">
        <v>1.6748315397828849E-3</v>
      </c>
      <c r="R54" s="4">
        <v>1490.816868274731</v>
      </c>
      <c r="S54" s="4">
        <v>152.56508289014499</v>
      </c>
      <c r="T54" s="4">
        <v>2.4819138683766711E-2</v>
      </c>
      <c r="U54" s="4">
        <v>2.5399054914993619E-3</v>
      </c>
      <c r="V54" s="4">
        <v>355.95156266156442</v>
      </c>
      <c r="W54" s="4">
        <v>916.62748093101459</v>
      </c>
      <c r="X54" s="4">
        <v>3.5014393068247759E-3</v>
      </c>
      <c r="Y54" s="4">
        <v>9.0167197678500208E-3</v>
      </c>
      <c r="Z54" s="4">
        <v>25.33088168093342</v>
      </c>
      <c r="AA54" s="4">
        <v>2.894113022093912</v>
      </c>
      <c r="AB54" s="4">
        <v>2.8008576822903079E-3</v>
      </c>
      <c r="AC54" s="4">
        <v>3.2000460123934589E-4</v>
      </c>
    </row>
    <row r="55" spans="1:29" x14ac:dyDescent="0.25">
      <c r="A55" s="14" t="s">
        <v>115</v>
      </c>
      <c r="B55" s="4">
        <v>599348.91087464767</v>
      </c>
      <c r="C55" s="4">
        <v>409008.46294121508</v>
      </c>
      <c r="D55" s="4">
        <v>1.4705439228725761</v>
      </c>
      <c r="E55" s="4">
        <v>1.003530495623862</v>
      </c>
      <c r="F55" s="20">
        <v>2.2086530097052961E-4</v>
      </c>
      <c r="G55" s="20">
        <v>3.4481372304694509E-4</v>
      </c>
      <c r="H55" s="4">
        <v>1.35593494363514</v>
      </c>
      <c r="I55" s="4">
        <v>2.1168783601126528</v>
      </c>
      <c r="J55" s="4">
        <v>16173.968769606479</v>
      </c>
      <c r="K55" s="4">
        <v>10086.440888531361</v>
      </c>
      <c r="L55" s="4">
        <v>1.027375172008244</v>
      </c>
      <c r="M55" s="4">
        <v>0.64069364114754734</v>
      </c>
      <c r="N55" s="4">
        <v>2623.6085207395222</v>
      </c>
      <c r="O55" s="4">
        <v>5080.7371101777362</v>
      </c>
      <c r="P55" s="4">
        <v>1.138994171493966</v>
      </c>
      <c r="Q55" s="4">
        <v>2.2057139659518881</v>
      </c>
      <c r="R55" s="4">
        <v>78608.618072736645</v>
      </c>
      <c r="S55" s="4">
        <v>382703.36464013322</v>
      </c>
      <c r="T55" s="4">
        <v>1.308677299811023</v>
      </c>
      <c r="U55" s="4">
        <v>6.371250610237408</v>
      </c>
      <c r="V55" s="4">
        <v>141754.20282966521</v>
      </c>
      <c r="W55" s="4">
        <v>96678.917508336846</v>
      </c>
      <c r="X55" s="4">
        <v>1.3944137061348449</v>
      </c>
      <c r="Y55" s="4">
        <v>0.95101524312401509</v>
      </c>
      <c r="Z55" s="4">
        <v>17357.81670824048</v>
      </c>
      <c r="AA55" s="4">
        <v>15343.08939322595</v>
      </c>
      <c r="AB55" s="4">
        <v>1.919268933763814</v>
      </c>
      <c r="AC55" s="4">
        <v>1.6964987771993061</v>
      </c>
    </row>
    <row r="56" spans="1:29" x14ac:dyDescent="0.25">
      <c r="A56" s="14" t="s">
        <v>116</v>
      </c>
      <c r="B56" s="4">
        <v>27379.86359533159</v>
      </c>
      <c r="C56" s="4">
        <v>99487.412888450664</v>
      </c>
      <c r="D56" s="4">
        <v>6.7178385225456619E-2</v>
      </c>
      <c r="E56" s="4">
        <v>0.24409923463767561</v>
      </c>
      <c r="F56" s="20">
        <v>7.9351616428098374E-6</v>
      </c>
      <c r="G56" s="20">
        <v>1.5166364424805621E-6</v>
      </c>
      <c r="H56" s="4">
        <v>4.8715497217531448E-2</v>
      </c>
      <c r="I56" s="4">
        <v>9.3109254378725432E-3</v>
      </c>
      <c r="J56" s="4">
        <v>1567.223763449854</v>
      </c>
      <c r="K56" s="4">
        <v>1910.1381575530249</v>
      </c>
      <c r="L56" s="4">
        <v>9.9550506525979715E-2</v>
      </c>
      <c r="M56" s="4">
        <v>0.1213325279731758</v>
      </c>
      <c r="N56" s="4">
        <v>98.920177499048449</v>
      </c>
      <c r="O56" s="4">
        <v>10.718378115252159</v>
      </c>
      <c r="P56" s="4">
        <v>4.2944480750049682E-2</v>
      </c>
      <c r="Q56" s="4">
        <v>4.6531981065908203E-3</v>
      </c>
      <c r="R56" s="4">
        <v>2110.6387097942452</v>
      </c>
      <c r="S56" s="4">
        <v>15.40989145495184</v>
      </c>
      <c r="T56" s="4">
        <v>3.5137940792373909E-2</v>
      </c>
      <c r="U56" s="4">
        <v>2.5654407409868443E-4</v>
      </c>
      <c r="V56" s="4">
        <v>7982.1058205441068</v>
      </c>
      <c r="W56" s="4">
        <v>8286.3808052084623</v>
      </c>
      <c r="X56" s="4">
        <v>7.8518714350641866E-2</v>
      </c>
      <c r="Y56" s="4">
        <v>8.1511819320938789E-2</v>
      </c>
      <c r="Z56" s="4">
        <v>711.12203556901807</v>
      </c>
      <c r="AA56" s="4">
        <v>503.17061899975351</v>
      </c>
      <c r="AB56" s="4">
        <v>7.8629383748162196E-2</v>
      </c>
      <c r="AC56" s="4">
        <v>5.5636014232738597E-2</v>
      </c>
    </row>
    <row r="57" spans="1:29" x14ac:dyDescent="0.25">
      <c r="A57" s="14" t="s">
        <v>117</v>
      </c>
      <c r="B57" s="4">
        <v>38475.30207671057</v>
      </c>
      <c r="C57" s="4">
        <v>71365.915959036443</v>
      </c>
      <c r="D57" s="4">
        <v>9.4401809401847434E-2</v>
      </c>
      <c r="E57" s="4">
        <v>0.17510120083582731</v>
      </c>
      <c r="F57" s="20">
        <v>1.324643374357536E-5</v>
      </c>
      <c r="G57" s="20">
        <v>4.2251656907353708E-5</v>
      </c>
      <c r="H57" s="4">
        <v>8.1322427346150125E-2</v>
      </c>
      <c r="I57" s="4">
        <v>0.25939112108338053</v>
      </c>
      <c r="J57" s="4">
        <v>1214.7575905210199</v>
      </c>
      <c r="K57" s="4">
        <v>2345.0214184933889</v>
      </c>
      <c r="L57" s="4">
        <v>7.716175332643592E-2</v>
      </c>
      <c r="M57" s="4">
        <v>0.14895643842932191</v>
      </c>
      <c r="N57" s="4">
        <v>524.83216526521846</v>
      </c>
      <c r="O57" s="4">
        <v>459.83355537744228</v>
      </c>
      <c r="P57" s="4">
        <v>0.2278467890785566</v>
      </c>
      <c r="Q57" s="4">
        <v>0.19962876903777729</v>
      </c>
      <c r="R57" s="4">
        <v>14162.94699375956</v>
      </c>
      <c r="S57" s="4">
        <v>11462.23182301825</v>
      </c>
      <c r="T57" s="4">
        <v>0.23578492643147211</v>
      </c>
      <c r="U57" s="4">
        <v>0.19082338501454951</v>
      </c>
      <c r="V57" s="4">
        <v>15676.490827754789</v>
      </c>
      <c r="W57" s="4">
        <v>26324.471495450231</v>
      </c>
      <c r="X57" s="4">
        <v>0.15420716449998531</v>
      </c>
      <c r="Y57" s="4">
        <v>0.25894966870308589</v>
      </c>
      <c r="Z57" s="4">
        <v>1191.501795375541</v>
      </c>
      <c r="AA57" s="4">
        <v>26.204878739014781</v>
      </c>
      <c r="AB57" s="4">
        <v>0.13174539280060721</v>
      </c>
      <c r="AC57" s="4">
        <v>2.897496299345193E-3</v>
      </c>
    </row>
    <row r="58" spans="1:29" x14ac:dyDescent="0.25">
      <c r="A58" s="14" t="s">
        <v>118</v>
      </c>
      <c r="B58" s="4">
        <v>70380.647974998719</v>
      </c>
      <c r="C58" s="4">
        <v>99453.72520914409</v>
      </c>
      <c r="D58" s="4">
        <v>0.17268377782889599</v>
      </c>
      <c r="E58" s="4">
        <v>0.24401657959120579</v>
      </c>
      <c r="F58" s="20">
        <v>2.8510356944944251E-5</v>
      </c>
      <c r="G58" s="20">
        <v>2.9705110687404369E-6</v>
      </c>
      <c r="H58" s="4">
        <v>0.17503061398639039</v>
      </c>
      <c r="I58" s="4">
        <v>1.8236543906448941E-2</v>
      </c>
      <c r="J58" s="4">
        <v>12131.64640305309</v>
      </c>
      <c r="K58" s="4">
        <v>11352.59988987114</v>
      </c>
      <c r="L58" s="4">
        <v>0.77060568668224971</v>
      </c>
      <c r="M58" s="4">
        <v>0.72112042694892109</v>
      </c>
      <c r="N58" s="4">
        <v>294.4805241290249</v>
      </c>
      <c r="O58" s="4">
        <v>97.010680467311843</v>
      </c>
      <c r="P58" s="4">
        <v>0.12784361613023901</v>
      </c>
      <c r="Q58" s="4">
        <v>4.2115505705777462E-2</v>
      </c>
      <c r="R58" s="4">
        <v>6698.8503226806797</v>
      </c>
      <c r="S58" s="4">
        <v>188.19140144943151</v>
      </c>
      <c r="T58" s="4">
        <v>0.11152254761700781</v>
      </c>
      <c r="U58" s="4">
        <v>3.1330129079309012E-3</v>
      </c>
      <c r="V58" s="4">
        <v>33265.144927535403</v>
      </c>
      <c r="W58" s="4">
        <v>17157.41976939387</v>
      </c>
      <c r="X58" s="4">
        <v>0.32722397712084078</v>
      </c>
      <c r="Y58" s="4">
        <v>0.1687748286172509</v>
      </c>
      <c r="Z58" s="4">
        <v>2762.1940521493671</v>
      </c>
      <c r="AA58" s="4">
        <v>1868.1766357704601</v>
      </c>
      <c r="AB58" s="4">
        <v>0.30541820566642292</v>
      </c>
      <c r="AC58" s="4">
        <v>0.2065659201318468</v>
      </c>
    </row>
    <row r="59" spans="1:29" x14ac:dyDescent="0.25">
      <c r="A59" s="14" t="s">
        <v>119</v>
      </c>
      <c r="B59" s="4">
        <v>628865.74573597498</v>
      </c>
      <c r="C59" s="4">
        <v>127405.5355756619</v>
      </c>
      <c r="D59" s="4">
        <v>1.5429655146035339</v>
      </c>
      <c r="E59" s="4">
        <v>0.31259827569837761</v>
      </c>
      <c r="F59" s="20">
        <v>2.731380005041078E-4</v>
      </c>
      <c r="G59" s="20">
        <v>1.323572816433289E-4</v>
      </c>
      <c r="H59" s="4">
        <v>1.6768471900779449</v>
      </c>
      <c r="I59" s="4">
        <v>0.81256703717662837</v>
      </c>
      <c r="J59" s="4">
        <v>27285.23508247573</v>
      </c>
      <c r="K59" s="4">
        <v>13705.18771714343</v>
      </c>
      <c r="L59" s="4">
        <v>1.7331660203784309</v>
      </c>
      <c r="M59" s="4">
        <v>0.87055748585126569</v>
      </c>
      <c r="N59" s="4">
        <v>4053.474003872534</v>
      </c>
      <c r="O59" s="4">
        <v>1071.672012126151</v>
      </c>
      <c r="P59" s="4">
        <v>1.7597454910733989</v>
      </c>
      <c r="Q59" s="4">
        <v>0.46524783172332262</v>
      </c>
      <c r="R59" s="4">
        <v>136275.34221982281</v>
      </c>
      <c r="S59" s="4">
        <v>6151.5911108792316</v>
      </c>
      <c r="T59" s="4">
        <v>2.2687136761778728</v>
      </c>
      <c r="U59" s="4">
        <v>0.1024117691151603</v>
      </c>
      <c r="V59" s="4">
        <v>248272.6800649942</v>
      </c>
      <c r="W59" s="4">
        <v>96009.998101338657</v>
      </c>
      <c r="X59" s="4">
        <v>2.4422191443413799</v>
      </c>
      <c r="Y59" s="4">
        <v>0.94443518855915198</v>
      </c>
      <c r="Z59" s="4">
        <v>30723.866705354991</v>
      </c>
      <c r="AA59" s="4">
        <v>23604.84142640702</v>
      </c>
      <c r="AB59" s="4">
        <v>3.3971647404649659</v>
      </c>
      <c r="AC59" s="4">
        <v>2.610007905810896</v>
      </c>
    </row>
    <row r="60" spans="1:29" x14ac:dyDescent="0.25">
      <c r="A60" s="14" t="s">
        <v>120</v>
      </c>
      <c r="B60" s="4">
        <v>4874.7012324310381</v>
      </c>
      <c r="C60" s="4">
        <v>1555.5512869356339</v>
      </c>
      <c r="D60" s="4">
        <v>1.19604159498843E-2</v>
      </c>
      <c r="E60" s="4">
        <v>3.81665245438018E-3</v>
      </c>
      <c r="F60" s="20">
        <v>3.8106837425351761E-6</v>
      </c>
      <c r="G60" s="20">
        <v>1.01334848024911E-4</v>
      </c>
      <c r="H60" s="4">
        <v>2.3394526994239009E-2</v>
      </c>
      <c r="I60" s="4">
        <v>0.62211429699981291</v>
      </c>
      <c r="J60" s="4">
        <v>230.9738184059654</v>
      </c>
      <c r="K60" s="4">
        <v>13611.487214065341</v>
      </c>
      <c r="L60" s="4">
        <v>1.4671523717799491E-2</v>
      </c>
      <c r="M60" s="4">
        <v>0.86460560280769205</v>
      </c>
      <c r="N60" s="4">
        <v>72.153239915029431</v>
      </c>
      <c r="O60" s="4">
        <v>2.4782844692542598</v>
      </c>
      <c r="P60" s="4">
        <v>3.1324078675601892E-2</v>
      </c>
      <c r="Q60" s="4">
        <v>1.075904253043424E-3</v>
      </c>
      <c r="R60" s="4">
        <v>1628.577572790434</v>
      </c>
      <c r="S60" s="4">
        <v>1.9099012075314501</v>
      </c>
      <c r="T60" s="4">
        <v>2.711258069083591E-2</v>
      </c>
      <c r="U60" s="4">
        <v>3.1796060234328639E-5</v>
      </c>
      <c r="V60" s="4">
        <v>2659.7312319161629</v>
      </c>
      <c r="W60" s="4">
        <v>6500.9120045528143</v>
      </c>
      <c r="X60" s="4">
        <v>2.6163356079645459E-2</v>
      </c>
      <c r="Y60" s="4">
        <v>6.3948444706204893E-2</v>
      </c>
      <c r="Z60" s="4">
        <v>143.90238437652471</v>
      </c>
      <c r="AA60" s="4">
        <v>134.18580289231451</v>
      </c>
      <c r="AB60" s="4">
        <v>1.591141215918505E-2</v>
      </c>
      <c r="AC60" s="4">
        <v>1.483704126920002E-2</v>
      </c>
    </row>
    <row r="61" spans="1:29" x14ac:dyDescent="0.25">
      <c r="A61" s="14" t="s">
        <v>121</v>
      </c>
      <c r="B61" s="4">
        <v>748266.80815235281</v>
      </c>
      <c r="C61" s="4">
        <v>65778.028312228562</v>
      </c>
      <c r="D61" s="4">
        <v>1.8359242628970751</v>
      </c>
      <c r="E61" s="4">
        <v>0.1613909327905973</v>
      </c>
      <c r="F61" s="20">
        <v>2.244682456801772E-4</v>
      </c>
      <c r="G61" s="20">
        <v>8.9670759248176473E-6</v>
      </c>
      <c r="H61" s="4">
        <v>1.3780541203927801</v>
      </c>
      <c r="I61" s="4">
        <v>5.5050619247393677E-2</v>
      </c>
      <c r="J61" s="4">
        <v>20852.23320834844</v>
      </c>
      <c r="K61" s="4">
        <v>5159.528971111903</v>
      </c>
      <c r="L61" s="4">
        <v>1.324539881605338</v>
      </c>
      <c r="M61" s="4">
        <v>0.32773477182289512</v>
      </c>
      <c r="N61" s="4">
        <v>4401.041061850101</v>
      </c>
      <c r="O61" s="4">
        <v>484.3785284155208</v>
      </c>
      <c r="P61" s="4">
        <v>1.91063570587121</v>
      </c>
      <c r="Q61" s="4">
        <v>0.21028454371180061</v>
      </c>
      <c r="R61" s="4">
        <v>129229.9465435811</v>
      </c>
      <c r="S61" s="4">
        <v>1673.7521860020511</v>
      </c>
      <c r="T61" s="4">
        <v>2.1514218369910698</v>
      </c>
      <c r="U61" s="4">
        <v>2.7864648241280369E-2</v>
      </c>
      <c r="V61" s="4">
        <v>248214.70556052739</v>
      </c>
      <c r="W61" s="4">
        <v>73295.590776227822</v>
      </c>
      <c r="X61" s="4">
        <v>2.4416488582967961</v>
      </c>
      <c r="Y61" s="4">
        <v>0.72099715096584305</v>
      </c>
      <c r="Z61" s="4">
        <v>22758.479709840849</v>
      </c>
      <c r="AA61" s="4">
        <v>23360.588720490588</v>
      </c>
      <c r="AB61" s="4">
        <v>2.5164249525722382</v>
      </c>
      <c r="AC61" s="4">
        <v>2.5830006710686022</v>
      </c>
    </row>
    <row r="62" spans="1:29" x14ac:dyDescent="0.25">
      <c r="A62" s="14" t="s">
        <v>122</v>
      </c>
      <c r="B62" s="4">
        <v>18425.751039154118</v>
      </c>
      <c r="C62" s="4">
        <v>6072.8006188167774</v>
      </c>
      <c r="D62" s="4">
        <v>4.5208852011509183E-2</v>
      </c>
      <c r="E62" s="4">
        <v>1.490003549315798E-2</v>
      </c>
      <c r="F62" s="20">
        <v>7.4049402648057524E-6</v>
      </c>
      <c r="G62" s="20">
        <v>9.0222753364839263E-6</v>
      </c>
      <c r="H62" s="4">
        <v>4.5460365283547639E-2</v>
      </c>
      <c r="I62" s="4">
        <v>5.5389499147575003E-2</v>
      </c>
      <c r="J62" s="4">
        <v>937.57381149223238</v>
      </c>
      <c r="K62" s="4">
        <v>467.40360995084939</v>
      </c>
      <c r="L62" s="4">
        <v>5.9554959550950942E-2</v>
      </c>
      <c r="M62" s="4">
        <v>2.9689612426660562E-2</v>
      </c>
      <c r="N62" s="4">
        <v>472.18783265688472</v>
      </c>
      <c r="O62" s="4">
        <v>224.22543585323379</v>
      </c>
      <c r="P62" s="4">
        <v>0.20499216441596391</v>
      </c>
      <c r="Q62" s="4">
        <v>9.7343587093374609E-2</v>
      </c>
      <c r="R62" s="4">
        <v>11574.727547287741</v>
      </c>
      <c r="S62" s="4">
        <v>6669.3835605899021</v>
      </c>
      <c r="T62" s="4">
        <v>0.19269621530067729</v>
      </c>
      <c r="U62" s="4">
        <v>0.1110319845770692</v>
      </c>
      <c r="V62" s="4">
        <v>6311.8023434466468</v>
      </c>
      <c r="W62" s="4">
        <v>5691.2178934855347</v>
      </c>
      <c r="X62" s="4">
        <v>6.2088202835804622E-2</v>
      </c>
      <c r="Y62" s="4">
        <v>5.5983611609823451E-2</v>
      </c>
      <c r="Z62" s="4">
        <v>355.7992939748425</v>
      </c>
      <c r="AA62" s="4">
        <v>193.8770124183919</v>
      </c>
      <c r="AB62" s="4">
        <v>3.9341038280282382E-2</v>
      </c>
      <c r="AC62" s="4">
        <v>2.14371503720804E-2</v>
      </c>
    </row>
    <row r="63" spans="1:29" x14ac:dyDescent="0.25">
      <c r="A63" s="14" t="s">
        <v>123</v>
      </c>
      <c r="B63" s="4">
        <v>68273.42036982713</v>
      </c>
      <c r="C63" s="4">
        <v>59318.34368266294</v>
      </c>
      <c r="D63" s="4">
        <v>0.16751354944828159</v>
      </c>
      <c r="E63" s="4">
        <v>0.14554165067240921</v>
      </c>
      <c r="F63" s="20">
        <v>2.493370680570468E-5</v>
      </c>
      <c r="G63" s="20">
        <v>2.7763544170609291E-5</v>
      </c>
      <c r="H63" s="4">
        <v>0.1530728646991924</v>
      </c>
      <c r="I63" s="4">
        <v>0.17044578543874539</v>
      </c>
      <c r="J63" s="4">
        <v>2037.7933824577619</v>
      </c>
      <c r="K63" s="4">
        <v>2046.6643562287759</v>
      </c>
      <c r="L63" s="4">
        <v>0.1294412247632121</v>
      </c>
      <c r="M63" s="4">
        <v>0.13000471158167329</v>
      </c>
      <c r="N63" s="4">
        <v>484.32948523473613</v>
      </c>
      <c r="O63" s="4">
        <v>578.04631924322189</v>
      </c>
      <c r="P63" s="4">
        <v>0.21026325246479341</v>
      </c>
      <c r="Q63" s="4">
        <v>0.25094879181364588</v>
      </c>
      <c r="R63" s="4">
        <v>10161.20242301763</v>
      </c>
      <c r="S63" s="4">
        <v>7277.571034844912</v>
      </c>
      <c r="T63" s="4">
        <v>0.16916383058004561</v>
      </c>
      <c r="U63" s="4">
        <v>0.121157097587585</v>
      </c>
      <c r="V63" s="4">
        <v>17865.753063130789</v>
      </c>
      <c r="W63" s="4">
        <v>15235.494007082199</v>
      </c>
      <c r="X63" s="4">
        <v>0.17574259136136691</v>
      </c>
      <c r="Y63" s="4">
        <v>0.14986914842121929</v>
      </c>
      <c r="Z63" s="4">
        <v>1240.4875239567939</v>
      </c>
      <c r="AA63" s="4">
        <v>104.0404643705006</v>
      </c>
      <c r="AB63" s="4">
        <v>0.1371617875375761</v>
      </c>
      <c r="AC63" s="4">
        <v>1.1503844894609681E-2</v>
      </c>
    </row>
    <row r="64" spans="1:29" x14ac:dyDescent="0.25">
      <c r="A64" s="14" t="s">
        <v>124</v>
      </c>
      <c r="B64" s="4">
        <v>24637.780442503241</v>
      </c>
      <c r="C64" s="4">
        <v>6581.0798673262461</v>
      </c>
      <c r="D64" s="4">
        <v>6.0450494937780173E-2</v>
      </c>
      <c r="E64" s="4">
        <v>1.6147133713336721E-2</v>
      </c>
      <c r="F64" s="20">
        <v>9.2382921788351291E-6</v>
      </c>
      <c r="G64" s="20">
        <v>3.0773296600945269E-6</v>
      </c>
      <c r="H64" s="4">
        <v>5.6715668462857347E-2</v>
      </c>
      <c r="I64" s="4">
        <v>1.8892323967918258E-2</v>
      </c>
      <c r="J64" s="4">
        <v>706.94716479834449</v>
      </c>
      <c r="K64" s="4">
        <v>441.94559491246832</v>
      </c>
      <c r="L64" s="4">
        <v>4.4905488280667122E-2</v>
      </c>
      <c r="M64" s="4">
        <v>2.807251195171747E-2</v>
      </c>
      <c r="N64" s="4">
        <v>517.61930804504107</v>
      </c>
      <c r="O64" s="4">
        <v>113.6659498850632</v>
      </c>
      <c r="P64" s="4">
        <v>0.2247154521170176</v>
      </c>
      <c r="Q64" s="4">
        <v>4.9346102283552441E-2</v>
      </c>
      <c r="R64" s="4">
        <v>14653.04606106623</v>
      </c>
      <c r="S64" s="4">
        <v>1219.998011066564</v>
      </c>
      <c r="T64" s="4">
        <v>0.24394410210161721</v>
      </c>
      <c r="U64" s="4">
        <v>2.0310542813767419E-2</v>
      </c>
      <c r="V64" s="4">
        <v>5176.2985316786371</v>
      </c>
      <c r="W64" s="4">
        <v>6583.8007997537052</v>
      </c>
      <c r="X64" s="4">
        <v>5.0918431168432782E-2</v>
      </c>
      <c r="Y64" s="4">
        <v>6.4763808694050892E-2</v>
      </c>
      <c r="Z64" s="4">
        <v>407.9861943456055</v>
      </c>
      <c r="AA64" s="4">
        <v>69.748231509763571</v>
      </c>
      <c r="AB64" s="4">
        <v>4.5111389374235457E-2</v>
      </c>
      <c r="AC64" s="4">
        <v>7.7121227958412506E-3</v>
      </c>
    </row>
    <row r="65" spans="1:29" x14ac:dyDescent="0.25">
      <c r="A65" s="14" t="s">
        <v>125</v>
      </c>
      <c r="B65" s="4">
        <v>3539.6803138586738</v>
      </c>
      <c r="C65" s="4">
        <v>107.8982368256161</v>
      </c>
      <c r="D65" s="4">
        <v>8.6848499763858451E-3</v>
      </c>
      <c r="E65" s="4">
        <v>2.6473577172439532E-4</v>
      </c>
      <c r="F65" s="20">
        <v>1.280715498002281E-6</v>
      </c>
      <c r="G65" s="20">
        <v>9.3072893875518187E-8</v>
      </c>
      <c r="H65" s="4">
        <v>7.8625609770549051E-3</v>
      </c>
      <c r="I65" s="4">
        <v>5.7139255716722695E-4</v>
      </c>
      <c r="J65" s="4">
        <v>78.113549432397065</v>
      </c>
      <c r="K65" s="4">
        <v>15.72120799893626</v>
      </c>
      <c r="L65" s="4">
        <v>4.9617952419377647E-3</v>
      </c>
      <c r="M65" s="4">
        <v>9.9861567696581501E-4</v>
      </c>
      <c r="N65" s="4">
        <v>37.611156830325093</v>
      </c>
      <c r="O65" s="4">
        <v>5.5595862950793649</v>
      </c>
      <c r="P65" s="4">
        <v>1.632823192722771E-2</v>
      </c>
      <c r="Q65" s="4">
        <v>2.4135980410020241E-3</v>
      </c>
      <c r="R65" s="4">
        <v>993.90176929296911</v>
      </c>
      <c r="S65" s="4">
        <v>27.761843714243071</v>
      </c>
      <c r="T65" s="4">
        <v>1.654648962932009E-2</v>
      </c>
      <c r="U65" s="4">
        <v>4.6217953655048162E-4</v>
      </c>
      <c r="V65" s="4">
        <v>566.40618427896129</v>
      </c>
      <c r="W65" s="4">
        <v>153.7476625998313</v>
      </c>
      <c r="X65" s="4">
        <v>5.5716481827855803E-3</v>
      </c>
      <c r="Y65" s="4">
        <v>1.5123914757787711E-3</v>
      </c>
      <c r="Z65" s="4">
        <v>31.571033832780849</v>
      </c>
      <c r="AA65" s="4">
        <v>2.9627287861682201</v>
      </c>
      <c r="AB65" s="4">
        <v>3.4908367486848968E-3</v>
      </c>
      <c r="AC65" s="4">
        <v>3.2759150612305559E-4</v>
      </c>
    </row>
    <row r="66" spans="1:29" x14ac:dyDescent="0.25">
      <c r="A66" s="14" t="s">
        <v>126</v>
      </c>
      <c r="B66" s="4">
        <v>5490.0005910788768</v>
      </c>
      <c r="C66" s="4">
        <v>1068.007678603534</v>
      </c>
      <c r="D66" s="4">
        <v>1.3470095397347609E-2</v>
      </c>
      <c r="E66" s="4">
        <v>2.6204305586535899E-3</v>
      </c>
      <c r="F66" s="20">
        <v>5.9274203317002747E-6</v>
      </c>
      <c r="G66" s="20">
        <v>5.7372598841436761E-6</v>
      </c>
      <c r="H66" s="4">
        <v>3.6389583687653167E-2</v>
      </c>
      <c r="I66" s="4">
        <v>3.5222151797690102E-2</v>
      </c>
      <c r="J66" s="4">
        <v>354.1799124653607</v>
      </c>
      <c r="K66" s="4">
        <v>310.63957369049092</v>
      </c>
      <c r="L66" s="4">
        <v>2.2497610430332129E-2</v>
      </c>
      <c r="M66" s="4">
        <v>1.9731915524194541E-2</v>
      </c>
      <c r="N66" s="4">
        <v>70.62654383414845</v>
      </c>
      <c r="O66" s="4">
        <v>0</v>
      </c>
      <c r="P66" s="4">
        <v>3.066129003010841E-2</v>
      </c>
      <c r="Q66" s="4">
        <v>0</v>
      </c>
      <c r="R66" s="4">
        <v>2836.0185701307691</v>
      </c>
      <c r="S66" s="4">
        <v>0</v>
      </c>
      <c r="T66" s="4">
        <v>4.721407417617314E-2</v>
      </c>
      <c r="U66" s="4">
        <v>0</v>
      </c>
      <c r="V66" s="4">
        <v>2537.8203848491012</v>
      </c>
      <c r="W66" s="4">
        <v>4909.3683466016264</v>
      </c>
      <c r="X66" s="4">
        <v>2.4964138330305849E-2</v>
      </c>
      <c r="Y66" s="4">
        <v>4.8292681093849453E-2</v>
      </c>
      <c r="Z66" s="4">
        <v>127.46924234794341</v>
      </c>
      <c r="AA66" s="4">
        <v>55.869090929861699</v>
      </c>
      <c r="AB66" s="4">
        <v>1.409438531129747E-2</v>
      </c>
      <c r="AC66" s="4">
        <v>6.1774941158586902E-3</v>
      </c>
    </row>
    <row r="67" spans="1:29" x14ac:dyDescent="0.25">
      <c r="A67" s="14" t="s">
        <v>127</v>
      </c>
      <c r="B67" s="4">
        <v>143462.5146717662</v>
      </c>
      <c r="C67" s="4">
        <v>27397.830913581129</v>
      </c>
      <c r="D67" s="4">
        <v>0.35199518224319742</v>
      </c>
      <c r="E67" s="4">
        <v>6.72224692809755E-2</v>
      </c>
      <c r="F67" s="20">
        <v>4.8593188413252198E-5</v>
      </c>
      <c r="G67" s="20">
        <v>9.6010188174795242E-5</v>
      </c>
      <c r="H67" s="4">
        <v>0.29832301363158242</v>
      </c>
      <c r="I67" s="4">
        <v>0.58942517687991536</v>
      </c>
      <c r="J67" s="4">
        <v>4423.4688889362169</v>
      </c>
      <c r="K67" s="4">
        <v>2062.7048865203951</v>
      </c>
      <c r="L67" s="4">
        <v>0.28098002261411159</v>
      </c>
      <c r="M67" s="4">
        <v>0.13102361070298379</v>
      </c>
      <c r="N67" s="4">
        <v>866.10500660621005</v>
      </c>
      <c r="O67" s="4">
        <v>969.90792730846977</v>
      </c>
      <c r="P67" s="4">
        <v>0.37600447880393079</v>
      </c>
      <c r="Q67" s="4">
        <v>0.42106871789650641</v>
      </c>
      <c r="R67" s="4">
        <v>34541.462252285921</v>
      </c>
      <c r="S67" s="4">
        <v>54136.963613412438</v>
      </c>
      <c r="T67" s="4">
        <v>0.57504671447116573</v>
      </c>
      <c r="U67" s="4">
        <v>0.90127287692569036</v>
      </c>
      <c r="V67" s="4">
        <v>44266.676925973297</v>
      </c>
      <c r="W67" s="4">
        <v>25336.218345645979</v>
      </c>
      <c r="X67" s="4">
        <v>0.43544430992844418</v>
      </c>
      <c r="Y67" s="4">
        <v>0.24922837854230079</v>
      </c>
      <c r="Z67" s="4">
        <v>4124.2649745713634</v>
      </c>
      <c r="AA67" s="4">
        <v>1350.4442382096879</v>
      </c>
      <c r="AB67" s="4">
        <v>0.45602357562326201</v>
      </c>
      <c r="AC67" s="4">
        <v>0.1493197973421235</v>
      </c>
    </row>
    <row r="68" spans="1:29" x14ac:dyDescent="0.25">
      <c r="A68" s="14" t="s">
        <v>128</v>
      </c>
      <c r="B68" s="4">
        <v>76193.662314657093</v>
      </c>
      <c r="C68" s="4">
        <v>62730.279443141713</v>
      </c>
      <c r="D68" s="4">
        <v>0.18694640975439819</v>
      </c>
      <c r="E68" s="4">
        <v>0.1539130705695132</v>
      </c>
      <c r="F68" s="20">
        <v>4.6719683492730063E-5</v>
      </c>
      <c r="G68" s="20">
        <v>1.5248213536943599E-4</v>
      </c>
      <c r="H68" s="4">
        <v>0.28682120335334721</v>
      </c>
      <c r="I68" s="4">
        <v>0.93611741961726158</v>
      </c>
      <c r="J68" s="4">
        <v>2098.4557887418928</v>
      </c>
      <c r="K68" s="4">
        <v>1550.2068891261511</v>
      </c>
      <c r="L68" s="4">
        <v>0.1332945183473884</v>
      </c>
      <c r="M68" s="4">
        <v>9.8469589749498113E-2</v>
      </c>
      <c r="N68" s="4">
        <v>725.89497367398167</v>
      </c>
      <c r="O68" s="4">
        <v>55.913711276370641</v>
      </c>
      <c r="P68" s="4">
        <v>0.31513472288098138</v>
      </c>
      <c r="Q68" s="4">
        <v>2.4273968752179329E-2</v>
      </c>
      <c r="R68" s="4">
        <v>13486.031582615949</v>
      </c>
      <c r="S68" s="4">
        <v>52.838319181656537</v>
      </c>
      <c r="T68" s="4">
        <v>0.22451562983047871</v>
      </c>
      <c r="U68" s="4">
        <v>8.7965302747365734E-4</v>
      </c>
      <c r="V68" s="4">
        <v>17326.36684192302</v>
      </c>
      <c r="W68" s="4">
        <v>8905.906394705491</v>
      </c>
      <c r="X68" s="4">
        <v>0.17043673428807671</v>
      </c>
      <c r="Y68" s="4">
        <v>8.7605994703759543E-2</v>
      </c>
      <c r="Z68" s="4">
        <v>1619.024281278103</v>
      </c>
      <c r="AA68" s="4">
        <v>448.72915729692409</v>
      </c>
      <c r="AB68" s="4">
        <v>0.17901692697280089</v>
      </c>
      <c r="AC68" s="4">
        <v>4.9616374325760659E-2</v>
      </c>
    </row>
    <row r="69" spans="1:29" x14ac:dyDescent="0.25">
      <c r="A69" s="14" t="s">
        <v>129</v>
      </c>
      <c r="B69" s="4">
        <v>43404.082381963119</v>
      </c>
      <c r="C69" s="4">
        <v>103783.8364366216</v>
      </c>
      <c r="D69" s="4">
        <v>0.1064949120897058</v>
      </c>
      <c r="E69" s="4">
        <v>0.25464080637362702</v>
      </c>
      <c r="F69" s="20">
        <v>2.6345703324450149E-5</v>
      </c>
      <c r="G69" s="20">
        <v>7.3065951342578465E-5</v>
      </c>
      <c r="H69" s="4">
        <v>0.1617413853388994</v>
      </c>
      <c r="I69" s="4">
        <v>0.44856605442321801</v>
      </c>
      <c r="J69" s="4">
        <v>969.51778169043382</v>
      </c>
      <c r="K69" s="4">
        <v>1321.792016956565</v>
      </c>
      <c r="L69" s="4">
        <v>6.1584049772682697E-2</v>
      </c>
      <c r="M69" s="4">
        <v>8.3960611036403968E-2</v>
      </c>
      <c r="N69" s="4">
        <v>472.02924256479781</v>
      </c>
      <c r="O69" s="4">
        <v>43.698739860110031</v>
      </c>
      <c r="P69" s="4">
        <v>0.20492331527588989</v>
      </c>
      <c r="Q69" s="4">
        <v>1.8971050600288059E-2</v>
      </c>
      <c r="R69" s="4">
        <v>7161.2071799387923</v>
      </c>
      <c r="S69" s="4">
        <v>267.70656332201781</v>
      </c>
      <c r="T69" s="4">
        <v>0.1192198706121249</v>
      </c>
      <c r="U69" s="4">
        <v>4.4567823607556028E-3</v>
      </c>
      <c r="V69" s="4">
        <v>7580.073879133698</v>
      </c>
      <c r="W69" s="4">
        <v>6917.0591745435486</v>
      </c>
      <c r="X69" s="4">
        <v>7.4563989635493183E-2</v>
      </c>
      <c r="Y69" s="4">
        <v>6.8042018695694192E-2</v>
      </c>
      <c r="Z69" s="4">
        <v>700.32030150380069</v>
      </c>
      <c r="AA69" s="4">
        <v>180.34958488685581</v>
      </c>
      <c r="AB69" s="4">
        <v>7.7435026590772241E-2</v>
      </c>
      <c r="AC69" s="4">
        <v>1.9941410910636889E-2</v>
      </c>
    </row>
    <row r="70" spans="1:29" x14ac:dyDescent="0.25">
      <c r="A70" s="14" t="s">
        <v>130</v>
      </c>
      <c r="B70" s="4">
        <v>498466.67525213578</v>
      </c>
      <c r="C70" s="4">
        <v>25970.184634362431</v>
      </c>
      <c r="D70" s="4">
        <v>1.223022394379282</v>
      </c>
      <c r="E70" s="4">
        <v>6.3719640591668361E-2</v>
      </c>
      <c r="F70" s="20">
        <v>1.5406779769314E-4</v>
      </c>
      <c r="G70" s="20">
        <v>0</v>
      </c>
      <c r="H70" s="4">
        <v>0.94585210833508204</v>
      </c>
      <c r="I70" s="4">
        <v>0</v>
      </c>
      <c r="J70" s="4">
        <v>13865.220136852089</v>
      </c>
      <c r="K70" s="4">
        <v>1.9173392113266989</v>
      </c>
      <c r="L70" s="4">
        <v>0.88072279141523135</v>
      </c>
      <c r="M70" s="4">
        <v>1.217899409906457E-4</v>
      </c>
      <c r="N70" s="4">
        <v>1572.9104966970949</v>
      </c>
      <c r="O70" s="4">
        <v>0</v>
      </c>
      <c r="P70" s="4">
        <v>0.68285183321278642</v>
      </c>
      <c r="Q70" s="4">
        <v>0</v>
      </c>
      <c r="R70" s="4">
        <v>48397.005443238537</v>
      </c>
      <c r="S70" s="4">
        <v>0</v>
      </c>
      <c r="T70" s="4">
        <v>0.8057139783807401</v>
      </c>
      <c r="U70" s="4">
        <v>0</v>
      </c>
      <c r="V70" s="4">
        <v>98292.190332668455</v>
      </c>
      <c r="W70" s="4">
        <v>12055.62152158296</v>
      </c>
      <c r="X70" s="4">
        <v>0.96688475311438904</v>
      </c>
      <c r="Y70" s="4">
        <v>0.1185892449754691</v>
      </c>
      <c r="Z70" s="4">
        <v>3367.961760944846</v>
      </c>
      <c r="AA70" s="4">
        <v>6940.2895660014738</v>
      </c>
      <c r="AB70" s="4">
        <v>0.37239846960805673</v>
      </c>
      <c r="AC70" s="4">
        <v>0.76739387097157663</v>
      </c>
    </row>
    <row r="71" spans="1:29" x14ac:dyDescent="0.25">
      <c r="A71" s="14" t="s">
        <v>131</v>
      </c>
      <c r="B71" s="4">
        <v>26259.165743138721</v>
      </c>
      <c r="C71" s="4">
        <v>52575.087184097443</v>
      </c>
      <c r="D71" s="4">
        <v>6.4428675688963863E-2</v>
      </c>
      <c r="E71" s="4">
        <v>0.1289966054000895</v>
      </c>
      <c r="F71" s="20">
        <v>1.2363573263791421E-5</v>
      </c>
      <c r="G71" s="20">
        <v>1.3659129717257549E-5</v>
      </c>
      <c r="H71" s="4">
        <v>7.5902375533424396E-2</v>
      </c>
      <c r="I71" s="4">
        <v>8.385604801609807E-2</v>
      </c>
      <c r="J71" s="4">
        <v>1244.6208971104679</v>
      </c>
      <c r="K71" s="4">
        <v>1435.642852867202</v>
      </c>
      <c r="L71" s="4">
        <v>7.9058679194236731E-2</v>
      </c>
      <c r="M71" s="4">
        <v>9.1192449046798435E-2</v>
      </c>
      <c r="N71" s="4">
        <v>189.1089351809776</v>
      </c>
      <c r="O71" s="4">
        <v>34.004848014242242</v>
      </c>
      <c r="P71" s="4">
        <v>8.2098366904163778E-2</v>
      </c>
      <c r="Q71" s="4">
        <v>1.4762615452949809E-2</v>
      </c>
      <c r="R71" s="4">
        <v>4891.3776020318983</v>
      </c>
      <c r="S71" s="4">
        <v>523.63725408520816</v>
      </c>
      <c r="T71" s="4">
        <v>8.1431718169376166E-2</v>
      </c>
      <c r="U71" s="4">
        <v>8.7175198414327238E-3</v>
      </c>
      <c r="V71" s="4">
        <v>12403.575015685659</v>
      </c>
      <c r="W71" s="4">
        <v>7996.9982489003842</v>
      </c>
      <c r="X71" s="4">
        <v>0.12201200854500729</v>
      </c>
      <c r="Y71" s="4">
        <v>7.8665208816436127E-2</v>
      </c>
      <c r="Z71" s="4">
        <v>1324.734214416105</v>
      </c>
      <c r="AA71" s="4">
        <v>606.32265203358213</v>
      </c>
      <c r="AB71" s="4">
        <v>0.14647701758573131</v>
      </c>
      <c r="AC71" s="4">
        <v>6.7041624499519337E-2</v>
      </c>
    </row>
    <row r="72" spans="1:29" x14ac:dyDescent="0.25">
      <c r="A72" s="14" t="s">
        <v>132</v>
      </c>
      <c r="B72" s="4">
        <v>19758.57435948179</v>
      </c>
      <c r="C72" s="4">
        <v>13.352799617905671</v>
      </c>
      <c r="D72" s="4">
        <v>4.8479026026025107E-2</v>
      </c>
      <c r="E72" s="4">
        <v>3.2762015539147682E-5</v>
      </c>
      <c r="F72" s="20">
        <v>4.9305695850490127E-5</v>
      </c>
      <c r="G72" s="20">
        <v>3.8593178515299971E-6</v>
      </c>
      <c r="H72" s="4">
        <v>0.30269723505751722</v>
      </c>
      <c r="I72" s="4">
        <v>2.369310122726186E-2</v>
      </c>
      <c r="J72" s="4">
        <v>661.00994667663417</v>
      </c>
      <c r="K72" s="4">
        <v>14.91507292781982</v>
      </c>
      <c r="L72" s="4">
        <v>4.19875429054999E-2</v>
      </c>
      <c r="M72" s="4">
        <v>9.4740974420140533E-4</v>
      </c>
      <c r="N72" s="4">
        <v>880.33273732338307</v>
      </c>
      <c r="O72" s="4">
        <v>8.8710778577831668</v>
      </c>
      <c r="P72" s="4">
        <v>0.38218120152469631</v>
      </c>
      <c r="Q72" s="4">
        <v>3.8512247139813899E-3</v>
      </c>
      <c r="R72" s="4">
        <v>10161.83088474437</v>
      </c>
      <c r="S72" s="4">
        <v>23.750762721035439</v>
      </c>
      <c r="T72" s="4">
        <v>0.16917429321907629</v>
      </c>
      <c r="U72" s="4">
        <v>3.9540300781597092E-4</v>
      </c>
      <c r="V72" s="4">
        <v>4617.3778429279546</v>
      </c>
      <c r="W72" s="4">
        <v>1642.042865604694</v>
      </c>
      <c r="X72" s="4">
        <v>4.5420416622982018E-2</v>
      </c>
      <c r="Y72" s="4">
        <v>1.6152516342753241E-2</v>
      </c>
      <c r="Z72" s="4">
        <v>343.45910976984538</v>
      </c>
      <c r="AA72" s="4">
        <v>3.2202853581881299</v>
      </c>
      <c r="AB72" s="4">
        <v>3.7976573349025787E-2</v>
      </c>
      <c r="AC72" s="4">
        <v>3.5606976094469108E-4</v>
      </c>
    </row>
    <row r="73" spans="1:29" x14ac:dyDescent="0.25">
      <c r="A73" s="14" t="s">
        <v>133</v>
      </c>
      <c r="B73" s="4">
        <v>45782.664539762569</v>
      </c>
      <c r="C73" s="4">
        <v>70970.294005485601</v>
      </c>
      <c r="D73" s="4">
        <v>0.11233092759543289</v>
      </c>
      <c r="E73" s="4">
        <v>0.17413051506499611</v>
      </c>
      <c r="F73" s="20">
        <v>1.8110046723187789E-5</v>
      </c>
      <c r="G73" s="20">
        <v>1.5687060147062299E-5</v>
      </c>
      <c r="H73" s="4">
        <v>0.1111810912575712</v>
      </c>
      <c r="I73" s="4">
        <v>9.6305906463533333E-2</v>
      </c>
      <c r="J73" s="4">
        <v>2125.4763606211081</v>
      </c>
      <c r="K73" s="4">
        <v>3314.9134806113898</v>
      </c>
      <c r="L73" s="4">
        <v>0.13501087288458369</v>
      </c>
      <c r="M73" s="4">
        <v>0.2105642626029651</v>
      </c>
      <c r="N73" s="4">
        <v>306.54362459494359</v>
      </c>
      <c r="O73" s="4">
        <v>160.74530947677701</v>
      </c>
      <c r="P73" s="4">
        <v>0.13308060214100051</v>
      </c>
      <c r="Q73" s="4">
        <v>6.9784790353339496E-2</v>
      </c>
      <c r="R73" s="4">
        <v>6740.4144567420444</v>
      </c>
      <c r="S73" s="4">
        <v>195.21181668368101</v>
      </c>
      <c r="T73" s="4">
        <v>0.1122145078634286</v>
      </c>
      <c r="U73" s="4">
        <v>3.2498888723933288E-3</v>
      </c>
      <c r="V73" s="4">
        <v>26705.726279326082</v>
      </c>
      <c r="W73" s="4">
        <v>21200.81712500241</v>
      </c>
      <c r="X73" s="4">
        <v>0.26270001180088298</v>
      </c>
      <c r="Y73" s="4">
        <v>0.2085490898346406</v>
      </c>
      <c r="Z73" s="4">
        <v>3605.7550146633098</v>
      </c>
      <c r="AA73" s="4">
        <v>3617.554852685701</v>
      </c>
      <c r="AB73" s="4">
        <v>0.39869147708657188</v>
      </c>
      <c r="AC73" s="4">
        <v>0.39999619546910148</v>
      </c>
    </row>
    <row r="74" spans="1:29" x14ac:dyDescent="0.25">
      <c r="A74" s="14" t="s">
        <v>134</v>
      </c>
      <c r="B74" s="4">
        <v>718555.33606890857</v>
      </c>
      <c r="C74" s="4">
        <v>452494.35641949432</v>
      </c>
      <c r="D74" s="4">
        <v>1.7630251153068239</v>
      </c>
      <c r="E74" s="4">
        <v>1.1102261368853881</v>
      </c>
      <c r="F74" s="20">
        <v>4.6729143794447593E-4</v>
      </c>
      <c r="G74" s="20">
        <v>9.5846792972678683E-4</v>
      </c>
      <c r="H74" s="4">
        <v>2.868792819814511</v>
      </c>
      <c r="I74" s="4">
        <v>5.8842206202575484</v>
      </c>
      <c r="J74" s="4">
        <v>42841.785888736777</v>
      </c>
      <c r="K74" s="4">
        <v>13733.54838312177</v>
      </c>
      <c r="L74" s="4">
        <v>2.7213226248644622</v>
      </c>
      <c r="M74" s="4">
        <v>0.87235896355304798</v>
      </c>
      <c r="N74" s="4">
        <v>4209.4852559221017</v>
      </c>
      <c r="O74" s="4">
        <v>729.8877990047497</v>
      </c>
      <c r="P74" s="4">
        <v>1.8274750724371029</v>
      </c>
      <c r="Q74" s="4">
        <v>0.31686813880168302</v>
      </c>
      <c r="R74" s="4">
        <v>88892.786471943735</v>
      </c>
      <c r="S74" s="4">
        <v>17297.838136223891</v>
      </c>
      <c r="T74" s="4">
        <v>1.4798882695678359</v>
      </c>
      <c r="U74" s="4">
        <v>0.28797463509325799</v>
      </c>
      <c r="V74" s="4">
        <v>147222.18366252669</v>
      </c>
      <c r="W74" s="4">
        <v>395207.71576552861</v>
      </c>
      <c r="X74" s="4">
        <v>1.4482013700349179</v>
      </c>
      <c r="Y74" s="4">
        <v>3.8875958852231718</v>
      </c>
      <c r="Z74" s="4">
        <v>11919.73063399875</v>
      </c>
      <c r="AA74" s="4">
        <v>5744.5080025436828</v>
      </c>
      <c r="AB74" s="4">
        <v>1.317975013171208</v>
      </c>
      <c r="AC74" s="4">
        <v>0.63517526048109274</v>
      </c>
    </row>
    <row r="75" spans="1:29" x14ac:dyDescent="0.25">
      <c r="A75" s="14" t="s">
        <v>135</v>
      </c>
      <c r="B75" s="4">
        <v>639535.57469352742</v>
      </c>
      <c r="C75" s="4">
        <v>985255.03191401565</v>
      </c>
      <c r="D75" s="4">
        <v>1.569144676435531</v>
      </c>
      <c r="E75" s="4">
        <v>2.41739122800176</v>
      </c>
      <c r="F75" s="20">
        <v>4.4886297726577109E-4</v>
      </c>
      <c r="G75" s="20">
        <v>5.2199920347879044E-4</v>
      </c>
      <c r="H75" s="4">
        <v>2.7556569234928161</v>
      </c>
      <c r="I75" s="4">
        <v>3.2046544089831661</v>
      </c>
      <c r="J75" s="4">
        <v>31360.264113892368</v>
      </c>
      <c r="K75" s="4">
        <v>18264.787276938659</v>
      </c>
      <c r="L75" s="4">
        <v>1.992013042511769</v>
      </c>
      <c r="M75" s="4">
        <v>1.1601845680326119</v>
      </c>
      <c r="N75" s="4">
        <v>5826.4097225927298</v>
      </c>
      <c r="O75" s="4">
        <v>49182.529394060271</v>
      </c>
      <c r="P75" s="4">
        <v>2.529434807940905</v>
      </c>
      <c r="Q75" s="4">
        <v>21.351742791022499</v>
      </c>
      <c r="R75" s="4">
        <v>154949.24698557871</v>
      </c>
      <c r="S75" s="4">
        <v>1264729.4395664281</v>
      </c>
      <c r="T75" s="4">
        <v>2.5795970864823898</v>
      </c>
      <c r="U75" s="4">
        <v>21.055232219345388</v>
      </c>
      <c r="V75" s="4">
        <v>478972.34440343018</v>
      </c>
      <c r="W75" s="4">
        <v>591695.71142640838</v>
      </c>
      <c r="X75" s="4">
        <v>4.7115753082695404</v>
      </c>
      <c r="Y75" s="4">
        <v>5.8204172673850936</v>
      </c>
      <c r="Z75" s="4">
        <v>30308.179419349301</v>
      </c>
      <c r="AA75" s="4">
        <v>30207.591064389231</v>
      </c>
      <c r="AB75" s="4">
        <v>3.3512018346686072</v>
      </c>
      <c r="AC75" s="4">
        <v>3.3400796925226071</v>
      </c>
    </row>
    <row r="76" spans="1:29" x14ac:dyDescent="0.25">
      <c r="A76" s="14" t="s">
        <v>136</v>
      </c>
      <c r="B76" s="4">
        <v>84584.762155373552</v>
      </c>
      <c r="C76" s="4">
        <v>163767.78662981041</v>
      </c>
      <c r="D76" s="4">
        <v>0.20753455240902541</v>
      </c>
      <c r="E76" s="4">
        <v>0.40181556856308193</v>
      </c>
      <c r="F76" s="20">
        <v>2.6026636661271691E-5</v>
      </c>
      <c r="G76" s="20">
        <v>6.0592268953663589E-6</v>
      </c>
      <c r="H76" s="4">
        <v>0.15978257317577721</v>
      </c>
      <c r="I76" s="4">
        <v>3.7198769760295528E-2</v>
      </c>
      <c r="J76" s="4">
        <v>4063.4669618981411</v>
      </c>
      <c r="K76" s="4">
        <v>4057.6731481915622</v>
      </c>
      <c r="L76" s="4">
        <v>0.25811259613502352</v>
      </c>
      <c r="M76" s="4">
        <v>0.25774457141343721</v>
      </c>
      <c r="N76" s="4">
        <v>429.24062744227501</v>
      </c>
      <c r="O76" s="4">
        <v>303.29164670557333</v>
      </c>
      <c r="P76" s="4">
        <v>0.18634737955773831</v>
      </c>
      <c r="Q76" s="4">
        <v>0.13166881229791219</v>
      </c>
      <c r="R76" s="4">
        <v>9077.5257361398908</v>
      </c>
      <c r="S76" s="4">
        <v>355.0574336224974</v>
      </c>
      <c r="T76" s="4">
        <v>0.1511227669508762</v>
      </c>
      <c r="U76" s="4">
        <v>5.9110007897731388E-3</v>
      </c>
      <c r="V76" s="4">
        <v>50448.831694671142</v>
      </c>
      <c r="W76" s="4">
        <v>28249.145753703349</v>
      </c>
      <c r="X76" s="4">
        <v>0.49625719004655772</v>
      </c>
      <c r="Y76" s="4">
        <v>0.2778823854196264</v>
      </c>
      <c r="Z76" s="4">
        <v>4568.8230723783608</v>
      </c>
      <c r="AA76" s="4">
        <v>56772.524239165323</v>
      </c>
      <c r="AB76" s="4">
        <v>0.50517875226302011</v>
      </c>
      <c r="AC76" s="4">
        <v>6.2773875248869526</v>
      </c>
    </row>
    <row r="77" spans="1:29" x14ac:dyDescent="0.25">
      <c r="A77" s="14" t="s">
        <v>137</v>
      </c>
      <c r="B77" s="4">
        <v>1068271.620804284</v>
      </c>
      <c r="C77" s="4">
        <v>231883.28649172219</v>
      </c>
      <c r="D77" s="4">
        <v>2.6210781590617351</v>
      </c>
      <c r="E77" s="4">
        <v>0.56894164914473466</v>
      </c>
      <c r="F77" s="20">
        <v>3.5197636741033522E-4</v>
      </c>
      <c r="G77" s="20">
        <v>2.6328065299896901E-5</v>
      </c>
      <c r="H77" s="4">
        <v>2.1608512238376241</v>
      </c>
      <c r="I77" s="4">
        <v>0.16163310208334339</v>
      </c>
      <c r="J77" s="4">
        <v>20655.21185395401</v>
      </c>
      <c r="K77" s="4">
        <v>2645.7951275861692</v>
      </c>
      <c r="L77" s="4">
        <v>1.312025028216933</v>
      </c>
      <c r="M77" s="4">
        <v>0.1680616713821286</v>
      </c>
      <c r="N77" s="4">
        <v>12456.202042861711</v>
      </c>
      <c r="O77" s="4">
        <v>6584.7286121187026</v>
      </c>
      <c r="P77" s="4">
        <v>5.4076442478436713</v>
      </c>
      <c r="Q77" s="4">
        <v>2.8586458119745402</v>
      </c>
      <c r="R77" s="4">
        <v>314378.50786834751</v>
      </c>
      <c r="S77" s="4">
        <v>422133.34790799738</v>
      </c>
      <c r="T77" s="4">
        <v>5.2337775028061158</v>
      </c>
      <c r="U77" s="4">
        <v>7.0276814863893824</v>
      </c>
      <c r="V77" s="4">
        <v>110258.946111321</v>
      </c>
      <c r="W77" s="4">
        <v>174279.17974003151</v>
      </c>
      <c r="X77" s="4">
        <v>1.0845998398111301</v>
      </c>
      <c r="Y77" s="4">
        <v>1.7143567673647939</v>
      </c>
      <c r="Z77" s="4">
        <v>5907.1529175855512</v>
      </c>
      <c r="AA77" s="4">
        <v>3845.66067549434</v>
      </c>
      <c r="AB77" s="4">
        <v>0.65315905060409352</v>
      </c>
      <c r="AC77" s="4">
        <v>0.42521805526206818</v>
      </c>
    </row>
    <row r="78" spans="1:29" x14ac:dyDescent="0.25">
      <c r="A78" s="14" t="s">
        <v>138</v>
      </c>
      <c r="B78" s="4">
        <v>167299.21900133649</v>
      </c>
      <c r="C78" s="4">
        <v>1513.0085639591609</v>
      </c>
      <c r="D78" s="4">
        <v>0.41048018164364058</v>
      </c>
      <c r="E78" s="4">
        <v>3.7122709470471531E-3</v>
      </c>
      <c r="F78" s="20">
        <v>9.5455325205463009E-5</v>
      </c>
      <c r="G78" s="20">
        <v>5.9006385327500014E-6</v>
      </c>
      <c r="H78" s="4">
        <v>0.58601876543483677</v>
      </c>
      <c r="I78" s="4">
        <v>3.6225165026638917E-2</v>
      </c>
      <c r="J78" s="4">
        <v>5278.9416914800631</v>
      </c>
      <c r="K78" s="4">
        <v>1630.622637813043</v>
      </c>
      <c r="L78" s="4">
        <v>0.33531990234192699</v>
      </c>
      <c r="M78" s="4">
        <v>0.1035776213536285</v>
      </c>
      <c r="N78" s="4">
        <v>4050.6903938602668</v>
      </c>
      <c r="O78" s="4">
        <v>1002.315496202134</v>
      </c>
      <c r="P78" s="4">
        <v>1.758537035027224</v>
      </c>
      <c r="Q78" s="4">
        <v>0.43513790230049948</v>
      </c>
      <c r="R78" s="4">
        <v>203554.6086055293</v>
      </c>
      <c r="S78" s="4">
        <v>62643.890237947118</v>
      </c>
      <c r="T78" s="4">
        <v>3.3887797812128579</v>
      </c>
      <c r="U78" s="4">
        <v>1.042896302418113</v>
      </c>
      <c r="V78" s="4">
        <v>45050.135452952432</v>
      </c>
      <c r="W78" s="4">
        <v>121178.25847413771</v>
      </c>
      <c r="X78" s="4">
        <v>0.44315106772751028</v>
      </c>
      <c r="Y78" s="4">
        <v>1.192011391047993</v>
      </c>
      <c r="Z78" s="4">
        <v>1891.1518529520779</v>
      </c>
      <c r="AA78" s="4">
        <v>36.729490989650053</v>
      </c>
      <c r="AB78" s="4">
        <v>0.20910630993572249</v>
      </c>
      <c r="AC78" s="4">
        <v>4.0612118559776554E-3</v>
      </c>
    </row>
    <row r="79" spans="1:29" x14ac:dyDescent="0.25">
      <c r="A79" s="14" t="s">
        <v>139</v>
      </c>
      <c r="B79" s="4">
        <v>6691.9062675494333</v>
      </c>
      <c r="C79" s="4">
        <v>123.4238121906829</v>
      </c>
      <c r="D79" s="4">
        <v>1.6419053936073451E-2</v>
      </c>
      <c r="E79" s="4">
        <v>3.0282884253498752E-4</v>
      </c>
      <c r="F79" s="20">
        <v>1.9575396625618551E-6</v>
      </c>
      <c r="G79" s="20">
        <v>3.8992694720876081E-9</v>
      </c>
      <c r="H79" s="4">
        <v>1.201771586734453E-2</v>
      </c>
      <c r="I79" s="4">
        <v>2.3938371978850612E-5</v>
      </c>
      <c r="J79" s="4">
        <v>539.26551067744401</v>
      </c>
      <c r="K79" s="4">
        <v>388.6293074997148</v>
      </c>
      <c r="L79" s="4">
        <v>3.4254301135504948E-2</v>
      </c>
      <c r="M79" s="4">
        <v>2.4685845961954261E-2</v>
      </c>
      <c r="N79" s="4">
        <v>22.712455294434829</v>
      </c>
      <c r="O79" s="4">
        <v>0.58261781081997832</v>
      </c>
      <c r="P79" s="4">
        <v>9.8602188536065158E-3</v>
      </c>
      <c r="Q79" s="4">
        <v>2.5293342565661412E-4</v>
      </c>
      <c r="R79" s="4">
        <v>550.74959742790077</v>
      </c>
      <c r="S79" s="4">
        <v>0.87926688155695576</v>
      </c>
      <c r="T79" s="4">
        <v>9.168886487319226E-3</v>
      </c>
      <c r="U79" s="4">
        <v>1.463804652187745E-5</v>
      </c>
      <c r="V79" s="4">
        <v>2308.583008291127</v>
      </c>
      <c r="W79" s="4">
        <v>1617.758134116255</v>
      </c>
      <c r="X79" s="4">
        <v>2.2709166460336432E-2</v>
      </c>
      <c r="Y79" s="4">
        <v>1.5913631274365E-2</v>
      </c>
      <c r="Z79" s="4">
        <v>301.14837942898401</v>
      </c>
      <c r="AA79" s="4">
        <v>28.26955563361016</v>
      </c>
      <c r="AB79" s="4">
        <v>3.329823898975573E-2</v>
      </c>
      <c r="AC79" s="4">
        <v>3.1257894244924121E-3</v>
      </c>
    </row>
    <row r="80" spans="1:29" x14ac:dyDescent="0.25">
      <c r="A80" s="14" t="s">
        <v>140</v>
      </c>
      <c r="B80" s="4">
        <v>183605.8843182358</v>
      </c>
      <c r="C80" s="4">
        <v>4031.0841172967039</v>
      </c>
      <c r="D80" s="4">
        <v>0.45048971056576559</v>
      </c>
      <c r="E80" s="4">
        <v>9.8905431272546928E-3</v>
      </c>
      <c r="F80" s="20">
        <v>9.3128230537634291E-5</v>
      </c>
      <c r="G80" s="20">
        <v>9.9721987700711647E-6</v>
      </c>
      <c r="H80" s="4">
        <v>0.57173227967455442</v>
      </c>
      <c r="I80" s="4">
        <v>6.1221263447892478E-2</v>
      </c>
      <c r="J80" s="4">
        <v>8877.8679163418856</v>
      </c>
      <c r="K80" s="4">
        <v>440.61142397591738</v>
      </c>
      <c r="L80" s="4">
        <v>0.56392473656545428</v>
      </c>
      <c r="M80" s="4">
        <v>2.7987765028129791E-2</v>
      </c>
      <c r="N80" s="4">
        <v>949.23972641227658</v>
      </c>
      <c r="O80" s="4">
        <v>261.65223015706152</v>
      </c>
      <c r="P80" s="4">
        <v>0.41209597666246173</v>
      </c>
      <c r="Q80" s="4">
        <v>0.1135917812247717</v>
      </c>
      <c r="R80" s="4">
        <v>23859.688847088739</v>
      </c>
      <c r="S80" s="4">
        <v>21382.952437113909</v>
      </c>
      <c r="T80" s="4">
        <v>0.39721641138439912</v>
      </c>
      <c r="U80" s="4">
        <v>0.35598367130047631</v>
      </c>
      <c r="V80" s="4">
        <v>44881.552077536733</v>
      </c>
      <c r="W80" s="4">
        <v>25363.998009061688</v>
      </c>
      <c r="X80" s="4">
        <v>0.44149273968775132</v>
      </c>
      <c r="Y80" s="4">
        <v>0.24950164270410641</v>
      </c>
      <c r="Z80" s="4">
        <v>3784.2731381495591</v>
      </c>
      <c r="AA80" s="4">
        <v>7571.7940988929231</v>
      </c>
      <c r="AB80" s="4">
        <v>0.41843038171265401</v>
      </c>
      <c r="AC80" s="4">
        <v>0.83721987800241404</v>
      </c>
    </row>
    <row r="81" spans="1:29" x14ac:dyDescent="0.25">
      <c r="A81" s="14" t="s">
        <v>141</v>
      </c>
      <c r="B81" s="4">
        <v>548060.82349848712</v>
      </c>
      <c r="C81" s="4">
        <v>27508.02395557017</v>
      </c>
      <c r="D81" s="4">
        <v>1.344705060336385</v>
      </c>
      <c r="E81" s="4">
        <v>6.7492835515567229E-2</v>
      </c>
      <c r="F81" s="20">
        <v>2.5316223225531478E-4</v>
      </c>
      <c r="G81" s="20">
        <v>1.2483099104456671E-4</v>
      </c>
      <c r="H81" s="4">
        <v>1.5542120723139741</v>
      </c>
      <c r="I81" s="4">
        <v>0.76636167864375504</v>
      </c>
      <c r="J81" s="4">
        <v>22755.355669746481</v>
      </c>
      <c r="K81" s="4">
        <v>3911.1214404002699</v>
      </c>
      <c r="L81" s="4">
        <v>1.445426770530569</v>
      </c>
      <c r="M81" s="4">
        <v>0.24843556456762739</v>
      </c>
      <c r="N81" s="4">
        <v>3578.2516708641801</v>
      </c>
      <c r="O81" s="4">
        <v>1464.083997165802</v>
      </c>
      <c r="P81" s="4">
        <v>1.553435950918487</v>
      </c>
      <c r="Q81" s="4">
        <v>0.6356066944314509</v>
      </c>
      <c r="R81" s="4">
        <v>128529.93502969549</v>
      </c>
      <c r="S81" s="4">
        <v>29966.074193113211</v>
      </c>
      <c r="T81" s="4">
        <v>2.1397680361701381</v>
      </c>
      <c r="U81" s="4">
        <v>0.49887559433615331</v>
      </c>
      <c r="V81" s="4">
        <v>212859.090946385</v>
      </c>
      <c r="W81" s="4">
        <v>75029.965298324954</v>
      </c>
      <c r="X81" s="4">
        <v>2.093861261014605</v>
      </c>
      <c r="Y81" s="4">
        <v>0.73805791923166542</v>
      </c>
      <c r="Z81" s="4">
        <v>21282.524148598739</v>
      </c>
      <c r="AA81" s="4">
        <v>24243.14879742666</v>
      </c>
      <c r="AB81" s="4">
        <v>2.353227258765326</v>
      </c>
      <c r="AC81" s="4">
        <v>2.6805861085873341</v>
      </c>
    </row>
    <row r="82" spans="1:29" x14ac:dyDescent="0.25">
      <c r="A82" s="14" t="s">
        <v>142</v>
      </c>
      <c r="B82" s="4">
        <v>14296.71597159317</v>
      </c>
      <c r="C82" s="4">
        <v>7495.5526639586969</v>
      </c>
      <c r="D82" s="4">
        <v>3.5077979466719568E-2</v>
      </c>
      <c r="E82" s="4">
        <v>1.8390855841333369E-2</v>
      </c>
      <c r="F82" s="20">
        <v>1.433881291076354E-5</v>
      </c>
      <c r="G82" s="20">
        <v>3.8998530125320752E-5</v>
      </c>
      <c r="H82" s="4">
        <v>8.8028755039911005E-2</v>
      </c>
      <c r="I82" s="4">
        <v>0.2394195444688067</v>
      </c>
      <c r="J82" s="4">
        <v>563.16790959292234</v>
      </c>
      <c r="K82" s="4">
        <v>129.96299708986811</v>
      </c>
      <c r="L82" s="4">
        <v>3.5772588424605282E-2</v>
      </c>
      <c r="M82" s="4">
        <v>8.255287146393989E-3</v>
      </c>
      <c r="N82" s="4">
        <v>340.51031455283783</v>
      </c>
      <c r="O82" s="4">
        <v>14.186496579298071</v>
      </c>
      <c r="P82" s="4">
        <v>0.1478266519350753</v>
      </c>
      <c r="Q82" s="4">
        <v>6.1588216344048924E-3</v>
      </c>
      <c r="R82" s="4">
        <v>7386.9926408759393</v>
      </c>
      <c r="S82" s="4">
        <v>71.404109112761702</v>
      </c>
      <c r="T82" s="4">
        <v>0.12297874991315021</v>
      </c>
      <c r="U82" s="4">
        <v>1.188736540599606E-3</v>
      </c>
      <c r="V82" s="4">
        <v>4147.8910834681728</v>
      </c>
      <c r="W82" s="4">
        <v>2027.4236940121179</v>
      </c>
      <c r="X82" s="4">
        <v>4.0802149515754123E-2</v>
      </c>
      <c r="Y82" s="4">
        <v>1.9943446688985289E-2</v>
      </c>
      <c r="Z82" s="4">
        <v>309.93365340359338</v>
      </c>
      <c r="AA82" s="4">
        <v>82.790787181136139</v>
      </c>
      <c r="AB82" s="4">
        <v>3.4269634396072397E-2</v>
      </c>
      <c r="AC82" s="4">
        <v>9.1542495527776012E-3</v>
      </c>
    </row>
    <row r="83" spans="1:29" x14ac:dyDescent="0.25">
      <c r="A83" s="14" t="s">
        <v>143</v>
      </c>
      <c r="B83" s="4">
        <v>75759.210891794006</v>
      </c>
      <c r="C83" s="4">
        <v>8582.1939004728974</v>
      </c>
      <c r="D83" s="4">
        <v>0.1858804532004065</v>
      </c>
      <c r="E83" s="4">
        <v>2.1057005120501592E-2</v>
      </c>
      <c r="F83" s="20">
        <v>3.3554331438195619E-5</v>
      </c>
      <c r="G83" s="20">
        <v>1.2572551444362009E-6</v>
      </c>
      <c r="H83" s="4">
        <v>0.20599655223087929</v>
      </c>
      <c r="I83" s="4">
        <v>7.718533313811741E-3</v>
      </c>
      <c r="J83" s="4">
        <v>3804.495931238589</v>
      </c>
      <c r="K83" s="4">
        <v>274.66808171531909</v>
      </c>
      <c r="L83" s="4">
        <v>0.2416626814011098</v>
      </c>
      <c r="M83" s="4">
        <v>1.7446995954865829E-2</v>
      </c>
      <c r="N83" s="4">
        <v>678.66766915175936</v>
      </c>
      <c r="O83" s="4">
        <v>42.084371260023467</v>
      </c>
      <c r="P83" s="4">
        <v>0.29463180708353642</v>
      </c>
      <c r="Q83" s="4">
        <v>1.8270200449967921E-2</v>
      </c>
      <c r="R83" s="4">
        <v>23824.420531378211</v>
      </c>
      <c r="S83" s="4">
        <v>3378.5693075685349</v>
      </c>
      <c r="T83" s="4">
        <v>0.39662926400406678</v>
      </c>
      <c r="U83" s="4">
        <v>5.6246465935350848E-2</v>
      </c>
      <c r="V83" s="4">
        <v>20349.002039512368</v>
      </c>
      <c r="W83" s="4">
        <v>7735.4631917486749</v>
      </c>
      <c r="X83" s="4">
        <v>0.20016991936498621</v>
      </c>
      <c r="Y83" s="4">
        <v>7.6092529763206795E-2</v>
      </c>
      <c r="Z83" s="4">
        <v>822.75700278040119</v>
      </c>
      <c r="AA83" s="4">
        <v>1415.4913201707</v>
      </c>
      <c r="AB83" s="4">
        <v>9.0972959446183749E-2</v>
      </c>
      <c r="AC83" s="4">
        <v>0.15651210993178749</v>
      </c>
    </row>
    <row r="84" spans="1:29" x14ac:dyDescent="0.25">
      <c r="A84" s="14" t="s">
        <v>144</v>
      </c>
      <c r="B84" s="4">
        <v>2132897.5373314791</v>
      </c>
      <c r="C84" s="4">
        <v>14915.462977748841</v>
      </c>
      <c r="D84" s="4">
        <v>5.2332113310349948</v>
      </c>
      <c r="E84" s="4">
        <v>3.6596117955317121E-2</v>
      </c>
      <c r="F84" s="20">
        <v>8.8922137564435779E-4</v>
      </c>
      <c r="G84" s="20">
        <v>1.911658913077802E-5</v>
      </c>
      <c r="H84" s="4">
        <v>5.4591025868041427</v>
      </c>
      <c r="I84" s="4">
        <v>0.1173604504267344</v>
      </c>
      <c r="J84" s="4">
        <v>82778.961458268022</v>
      </c>
      <c r="K84" s="4">
        <v>2036.856238059248</v>
      </c>
      <c r="L84" s="4">
        <v>5.2581435625537649</v>
      </c>
      <c r="M84" s="4">
        <v>0.1293816970800977</v>
      </c>
      <c r="N84" s="4">
        <v>9901.1470727491069</v>
      </c>
      <c r="O84" s="4">
        <v>368.00743451087988</v>
      </c>
      <c r="P84" s="4">
        <v>4.2984114123043797</v>
      </c>
      <c r="Q84" s="4">
        <v>0.15976405003296401</v>
      </c>
      <c r="R84" s="4">
        <v>214547.06607035079</v>
      </c>
      <c r="S84" s="4">
        <v>326.27066112766698</v>
      </c>
      <c r="T84" s="4">
        <v>3.571782356579837</v>
      </c>
      <c r="U84" s="4">
        <v>5.4317582255042898E-3</v>
      </c>
      <c r="V84" s="4">
        <v>503844.45538254699</v>
      </c>
      <c r="W84" s="4">
        <v>149983.50594102</v>
      </c>
      <c r="X84" s="4">
        <v>4.9562383359433104</v>
      </c>
      <c r="Y84" s="4">
        <v>1.475364061195569</v>
      </c>
      <c r="Z84" s="4">
        <v>39980.236795293516</v>
      </c>
      <c r="AA84" s="4">
        <v>38909.718315691411</v>
      </c>
      <c r="AB84" s="4">
        <v>4.420649655166569</v>
      </c>
      <c r="AC84" s="4">
        <v>4.3022814931185742</v>
      </c>
    </row>
    <row r="85" spans="1:29" x14ac:dyDescent="0.25">
      <c r="A85" s="14" t="s">
        <v>145</v>
      </c>
      <c r="B85" s="4">
        <v>213747.55947937621</v>
      </c>
      <c r="C85" s="4">
        <v>10587.99540533803</v>
      </c>
      <c r="D85" s="4">
        <v>0.52444439110189933</v>
      </c>
      <c r="E85" s="4">
        <v>2.5978377563080371E-2</v>
      </c>
      <c r="F85" s="20">
        <v>1.4989278545004529E-5</v>
      </c>
      <c r="G85" s="20">
        <v>1.133315005343798E-4</v>
      </c>
      <c r="H85" s="4">
        <v>9.2022089797455561E-2</v>
      </c>
      <c r="I85" s="4">
        <v>0.69576407481804714</v>
      </c>
      <c r="J85" s="4">
        <v>4353.2805798769732</v>
      </c>
      <c r="K85" s="4">
        <v>34353.239487385174</v>
      </c>
      <c r="L85" s="4">
        <v>0.2765216409317991</v>
      </c>
      <c r="M85" s="4">
        <v>2.182127703480873</v>
      </c>
      <c r="N85" s="4">
        <v>1598.80341200616</v>
      </c>
      <c r="O85" s="4">
        <v>1400.851188761143</v>
      </c>
      <c r="P85" s="4">
        <v>0.69409279366358556</v>
      </c>
      <c r="Q85" s="4">
        <v>0.60815526650279017</v>
      </c>
      <c r="R85" s="4">
        <v>37219.17326705224</v>
      </c>
      <c r="S85" s="4">
        <v>18033.887458197329</v>
      </c>
      <c r="T85" s="4">
        <v>0.61962528239912662</v>
      </c>
      <c r="U85" s="4">
        <v>0.30022839381366478</v>
      </c>
      <c r="V85" s="4">
        <v>41609.154774093957</v>
      </c>
      <c r="W85" s="4">
        <v>77157.279135332472</v>
      </c>
      <c r="X85" s="4">
        <v>0.40930268422024318</v>
      </c>
      <c r="Y85" s="4">
        <v>0.75898396948174529</v>
      </c>
      <c r="Z85" s="4">
        <v>2016.648228639734</v>
      </c>
      <c r="AA85" s="4">
        <v>276.72784587209412</v>
      </c>
      <c r="AB85" s="4">
        <v>0.22298255365956149</v>
      </c>
      <c r="AC85" s="4">
        <v>3.0598039293590909E-2</v>
      </c>
    </row>
    <row r="86" spans="1:29" x14ac:dyDescent="0.25">
      <c r="A86" s="14" t="s">
        <v>146</v>
      </c>
      <c r="B86" s="4">
        <v>58381.485695138697</v>
      </c>
      <c r="C86" s="4">
        <v>97642.94084037673</v>
      </c>
      <c r="D86" s="4">
        <v>0.14324300493342229</v>
      </c>
      <c r="E86" s="4">
        <v>0.23957369515309521</v>
      </c>
      <c r="F86" s="20">
        <v>3.2310501050046133E-5</v>
      </c>
      <c r="G86" s="20">
        <v>7.6952031314007839E-6</v>
      </c>
      <c r="H86" s="4">
        <v>0.1983604361011112</v>
      </c>
      <c r="I86" s="4">
        <v>4.7242345349798168E-2</v>
      </c>
      <c r="J86" s="4">
        <v>2317.204603918829</v>
      </c>
      <c r="K86" s="4">
        <v>802.72330799898543</v>
      </c>
      <c r="L86" s="4">
        <v>0.147189506325931</v>
      </c>
      <c r="M86" s="4">
        <v>5.0989216584875957E-2</v>
      </c>
      <c r="N86" s="4">
        <v>934.45608126592163</v>
      </c>
      <c r="O86" s="4">
        <v>151.91681099811879</v>
      </c>
      <c r="P86" s="4">
        <v>0.40567791332640152</v>
      </c>
      <c r="Q86" s="4">
        <v>6.5952050738894069E-2</v>
      </c>
      <c r="R86" s="4">
        <v>24185.454242599659</v>
      </c>
      <c r="S86" s="4">
        <v>2233.7626544449008</v>
      </c>
      <c r="T86" s="4">
        <v>0.40263975794132012</v>
      </c>
      <c r="U86" s="4">
        <v>3.7187709830145417E-2</v>
      </c>
      <c r="V86" s="4">
        <v>22818.941934311151</v>
      </c>
      <c r="W86" s="4">
        <v>23106.41678905454</v>
      </c>
      <c r="X86" s="4">
        <v>0.2244663280349655</v>
      </c>
      <c r="Y86" s="4">
        <v>0.2272941727804576</v>
      </c>
      <c r="Z86" s="4">
        <v>1322.5383983324321</v>
      </c>
      <c r="AA86" s="4">
        <v>294.04233849777239</v>
      </c>
      <c r="AB86" s="4">
        <v>0.14623422428606181</v>
      </c>
      <c r="AC86" s="4">
        <v>3.2512517845756463E-2</v>
      </c>
    </row>
    <row r="87" spans="1:29" x14ac:dyDescent="0.25">
      <c r="A87" s="14" t="s">
        <v>147</v>
      </c>
      <c r="B87" s="4">
        <v>19889.205350052289</v>
      </c>
      <c r="C87" s="4">
        <v>509.94427780831933</v>
      </c>
      <c r="D87" s="4">
        <v>4.8799538178190251E-2</v>
      </c>
      <c r="E87" s="4">
        <v>1.2511834844920701E-3</v>
      </c>
      <c r="F87" s="20">
        <v>6.2296024557878056E-6</v>
      </c>
      <c r="G87" s="20">
        <v>2.3341366846348989E-6</v>
      </c>
      <c r="H87" s="4">
        <v>3.824473838869355E-2</v>
      </c>
      <c r="I87" s="4">
        <v>1.4329718068024799E-2</v>
      </c>
      <c r="J87" s="4">
        <v>326.7887287411836</v>
      </c>
      <c r="K87" s="4">
        <v>276.01156827129711</v>
      </c>
      <c r="L87" s="4">
        <v>2.0757714521603941E-2</v>
      </c>
      <c r="M87" s="4">
        <v>1.7532334609292589E-2</v>
      </c>
      <c r="N87" s="4">
        <v>285.88042841993899</v>
      </c>
      <c r="O87" s="4">
        <v>87.685430752908303</v>
      </c>
      <c r="P87" s="4">
        <v>0.1241100336199268</v>
      </c>
      <c r="Q87" s="4">
        <v>3.8067110151155027E-2</v>
      </c>
      <c r="R87" s="4">
        <v>8646.9779308659381</v>
      </c>
      <c r="S87" s="4">
        <v>2845.324752479753</v>
      </c>
      <c r="T87" s="4">
        <v>0.14395500146841839</v>
      </c>
      <c r="U87" s="4">
        <v>4.7369003621399459E-2</v>
      </c>
      <c r="V87" s="4">
        <v>3465.639653892918</v>
      </c>
      <c r="W87" s="4">
        <v>4609.7801194089716</v>
      </c>
      <c r="X87" s="4">
        <v>3.4090949950313518E-2</v>
      </c>
      <c r="Y87" s="4">
        <v>4.5345679016626707E-2</v>
      </c>
      <c r="Z87" s="4">
        <v>105.61134410917749</v>
      </c>
      <c r="AA87" s="4">
        <v>24.99914643357166</v>
      </c>
      <c r="AB87" s="4">
        <v>1.1677538437513039E-2</v>
      </c>
      <c r="AC87" s="4">
        <v>2.764177426633868E-3</v>
      </c>
    </row>
    <row r="88" spans="1:29" x14ac:dyDescent="0.25">
      <c r="A88" s="14" t="s">
        <v>148</v>
      </c>
      <c r="B88" s="4">
        <v>25956.959188288089</v>
      </c>
      <c r="C88" s="4">
        <v>6673.2373128378931</v>
      </c>
      <c r="D88" s="4">
        <v>6.3687191046838926E-2</v>
      </c>
      <c r="E88" s="4">
        <v>1.6373248367064622E-2</v>
      </c>
      <c r="F88" s="20">
        <v>1.5130173794297031E-5</v>
      </c>
      <c r="G88" s="20">
        <v>2.9779017498084129E-5</v>
      </c>
      <c r="H88" s="4">
        <v>9.2887073074902932E-2</v>
      </c>
      <c r="I88" s="4">
        <v>0.1828191673175602</v>
      </c>
      <c r="J88" s="4">
        <v>706.30113011002527</v>
      </c>
      <c r="K88" s="4">
        <v>1502.95226222356</v>
      </c>
      <c r="L88" s="4">
        <v>4.4864451970501713E-2</v>
      </c>
      <c r="M88" s="4">
        <v>9.5467962187717206E-2</v>
      </c>
      <c r="N88" s="4">
        <v>368.06978191308508</v>
      </c>
      <c r="O88" s="4">
        <v>250.77182591979161</v>
      </c>
      <c r="P88" s="4">
        <v>0.15979111707713539</v>
      </c>
      <c r="Q88" s="4">
        <v>0.10886824228525969</v>
      </c>
      <c r="R88" s="4">
        <v>2965.8860295594509</v>
      </c>
      <c r="S88" s="4">
        <v>776.56813274455089</v>
      </c>
      <c r="T88" s="4">
        <v>4.9376109335997287E-2</v>
      </c>
      <c r="U88" s="4">
        <v>1.292831641104623E-2</v>
      </c>
      <c r="V88" s="4">
        <v>12013.57296093062</v>
      </c>
      <c r="W88" s="4">
        <v>6226.2438763818973</v>
      </c>
      <c r="X88" s="4">
        <v>0.1181756199250194</v>
      </c>
      <c r="Y88" s="4">
        <v>6.1246577707452468E-2</v>
      </c>
      <c r="Z88" s="4">
        <v>718.1747364231453</v>
      </c>
      <c r="AA88" s="4">
        <v>111.207781709505</v>
      </c>
      <c r="AB88" s="4">
        <v>7.9409207033312446E-2</v>
      </c>
      <c r="AC88" s="4">
        <v>1.229634142446687E-2</v>
      </c>
    </row>
    <row r="89" spans="1:29" x14ac:dyDescent="0.25">
      <c r="A89" s="14" t="s">
        <v>149</v>
      </c>
      <c r="B89" s="4">
        <v>1101557.943591984</v>
      </c>
      <c r="C89" s="4">
        <v>73339.198552453294</v>
      </c>
      <c r="D89" s="4">
        <v>2.7027484496088459</v>
      </c>
      <c r="E89" s="4">
        <v>0.1799427858845507</v>
      </c>
      <c r="F89" s="20">
        <v>4.4258509464274081E-4</v>
      </c>
      <c r="G89" s="20">
        <v>3.176200630437474E-6</v>
      </c>
      <c r="H89" s="4">
        <v>2.7171157837882021</v>
      </c>
      <c r="I89" s="4">
        <v>1.949931204168999E-2</v>
      </c>
      <c r="J89" s="4">
        <v>42984.366361067718</v>
      </c>
      <c r="K89" s="4">
        <v>318.59234843143378</v>
      </c>
      <c r="L89" s="4">
        <v>2.730379377685777</v>
      </c>
      <c r="M89" s="4">
        <v>2.0237078074821741E-2</v>
      </c>
      <c r="N89" s="4">
        <v>5513.0050689451919</v>
      </c>
      <c r="O89" s="4">
        <v>574.91697417434636</v>
      </c>
      <c r="P89" s="4">
        <v>2.393375608940052</v>
      </c>
      <c r="Q89" s="4">
        <v>0.2495902408843183</v>
      </c>
      <c r="R89" s="4">
        <v>122433.5305141042</v>
      </c>
      <c r="S89" s="4">
        <v>1014.741366707064</v>
      </c>
      <c r="T89" s="4">
        <v>2.0382750142137218</v>
      </c>
      <c r="U89" s="4">
        <v>1.6893427519104529E-2</v>
      </c>
      <c r="V89" s="4">
        <v>292875.87705335458</v>
      </c>
      <c r="W89" s="4">
        <v>164124.2317680913</v>
      </c>
      <c r="X89" s="4">
        <v>2.8809737489772469</v>
      </c>
      <c r="Y89" s="4">
        <v>1.6144641479256729</v>
      </c>
      <c r="Z89" s="4">
        <v>22268.589624966899</v>
      </c>
      <c r="AA89" s="4">
        <v>37005.568305885034</v>
      </c>
      <c r="AB89" s="4">
        <v>2.4622573785817181</v>
      </c>
      <c r="AC89" s="4">
        <v>4.0917379656418458</v>
      </c>
    </row>
    <row r="90" spans="1:29" x14ac:dyDescent="0.25">
      <c r="A90" s="14" t="s">
        <v>150</v>
      </c>
      <c r="B90" s="4">
        <v>99194.992996512272</v>
      </c>
      <c r="C90" s="4">
        <v>1521.2103454069361</v>
      </c>
      <c r="D90" s="4">
        <v>0.24338176224852989</v>
      </c>
      <c r="E90" s="4">
        <v>3.7323945839569999E-3</v>
      </c>
      <c r="F90" s="20">
        <v>6.5601645549830128E-5</v>
      </c>
      <c r="G90" s="20">
        <v>1.7285484788104231E-8</v>
      </c>
      <c r="H90" s="4">
        <v>0.40274123264319489</v>
      </c>
      <c r="I90" s="4">
        <v>1.061189455241389E-4</v>
      </c>
      <c r="J90" s="4">
        <v>8487.7052542625352</v>
      </c>
      <c r="K90" s="4">
        <v>16.79306107080723</v>
      </c>
      <c r="L90" s="4">
        <v>0.53914149147732127</v>
      </c>
      <c r="M90" s="4">
        <v>1.066700093955066E-3</v>
      </c>
      <c r="N90" s="4">
        <v>1578.20307212944</v>
      </c>
      <c r="O90" s="4">
        <v>6.0327190177940313</v>
      </c>
      <c r="P90" s="4">
        <v>0.68514951311509675</v>
      </c>
      <c r="Q90" s="4">
        <v>2.6190004130613948E-3</v>
      </c>
      <c r="R90" s="4">
        <v>53015.063638682201</v>
      </c>
      <c r="S90" s="4">
        <v>292.72159321718198</v>
      </c>
      <c r="T90" s="4">
        <v>0.88259547150139595</v>
      </c>
      <c r="U90" s="4">
        <v>4.873232904989879E-3</v>
      </c>
      <c r="V90" s="4">
        <v>36227.505510788447</v>
      </c>
      <c r="W90" s="4">
        <v>46467.738684187723</v>
      </c>
      <c r="X90" s="4">
        <v>0.35636425033563418</v>
      </c>
      <c r="Y90" s="4">
        <v>0.45709580683250051</v>
      </c>
      <c r="Z90" s="4">
        <v>2137.5532867945399</v>
      </c>
      <c r="AA90" s="4">
        <v>1975.9854637416629</v>
      </c>
      <c r="AB90" s="4">
        <v>0.23635113139902239</v>
      </c>
      <c r="AC90" s="4">
        <v>0.21848643627673661</v>
      </c>
    </row>
    <row r="91" spans="1:29" x14ac:dyDescent="0.25">
      <c r="A91" s="14" t="s">
        <v>151</v>
      </c>
      <c r="B91" s="4">
        <v>15837.84981744106</v>
      </c>
      <c r="C91" s="4">
        <v>77588.209235830233</v>
      </c>
      <c r="D91" s="4">
        <v>3.8859257734227513E-2</v>
      </c>
      <c r="E91" s="4">
        <v>0.19036802688405841</v>
      </c>
      <c r="F91" s="20">
        <v>1.045847355956638E-5</v>
      </c>
      <c r="G91" s="20">
        <v>9.7700319789230622E-5</v>
      </c>
      <c r="H91" s="4">
        <v>6.4206598746773841E-2</v>
      </c>
      <c r="I91" s="4">
        <v>0.59980122284677917</v>
      </c>
      <c r="J91" s="4">
        <v>333.21455694968608</v>
      </c>
      <c r="K91" s="4">
        <v>3807.9197418892209</v>
      </c>
      <c r="L91" s="4">
        <v>2.1165884987062698E-2</v>
      </c>
      <c r="M91" s="4">
        <v>0.2418801628434338</v>
      </c>
      <c r="N91" s="4">
        <v>210.89493361874739</v>
      </c>
      <c r="O91" s="4">
        <v>259.53050172509188</v>
      </c>
      <c r="P91" s="4">
        <v>9.1556380569175838E-2</v>
      </c>
      <c r="Q91" s="4">
        <v>0.11267066959611111</v>
      </c>
      <c r="R91" s="4">
        <v>1341.675042260754</v>
      </c>
      <c r="S91" s="4">
        <v>629.59864803102732</v>
      </c>
      <c r="T91" s="4">
        <v>2.2336223617428059E-2</v>
      </c>
      <c r="U91" s="4">
        <v>1.0481566511034719E-2</v>
      </c>
      <c r="V91" s="4">
        <v>5331.8857720533706</v>
      </c>
      <c r="W91" s="4">
        <v>15528.084614324111</v>
      </c>
      <c r="X91" s="4">
        <v>5.2448918280260583E-2</v>
      </c>
      <c r="Y91" s="4">
        <v>0.15274731601611369</v>
      </c>
      <c r="Z91" s="4">
        <v>291.66460864877598</v>
      </c>
      <c r="AA91" s="4">
        <v>92.766273402040028</v>
      </c>
      <c r="AB91" s="4">
        <v>3.2249610182381067E-2</v>
      </c>
      <c r="AC91" s="4">
        <v>1.025724776532818E-2</v>
      </c>
    </row>
    <row r="92" spans="1:29" x14ac:dyDescent="0.25">
      <c r="A92" s="14" t="s">
        <v>152</v>
      </c>
      <c r="B92" s="4">
        <v>76950.659844857335</v>
      </c>
      <c r="C92" s="4">
        <v>45986.080728098743</v>
      </c>
      <c r="D92" s="4">
        <v>0.18880375544647771</v>
      </c>
      <c r="E92" s="4">
        <v>0.11283002325431241</v>
      </c>
      <c r="F92" s="20">
        <v>5.2708461929538793E-5</v>
      </c>
      <c r="G92" s="20">
        <v>7.8849965642876055E-6</v>
      </c>
      <c r="H92" s="4">
        <v>0.32358747635537533</v>
      </c>
      <c r="I92" s="4">
        <v>4.8407524065480857E-2</v>
      </c>
      <c r="J92" s="4">
        <v>3634.5090593040418</v>
      </c>
      <c r="K92" s="4">
        <v>186.50046419577799</v>
      </c>
      <c r="L92" s="4">
        <v>0.23086506615400509</v>
      </c>
      <c r="M92" s="4">
        <v>1.1846563401483349E-2</v>
      </c>
      <c r="N92" s="4">
        <v>700.95569195729229</v>
      </c>
      <c r="O92" s="4">
        <v>332.33376112512218</v>
      </c>
      <c r="P92" s="4">
        <v>0.30430776592760622</v>
      </c>
      <c r="Q92" s="4">
        <v>0.1442769429661275</v>
      </c>
      <c r="R92" s="4">
        <v>33846.55338603675</v>
      </c>
      <c r="S92" s="4">
        <v>27465.40312237605</v>
      </c>
      <c r="T92" s="4">
        <v>0.56347786259469301</v>
      </c>
      <c r="U92" s="4">
        <v>0.45724438970742243</v>
      </c>
      <c r="V92" s="4">
        <v>20020.116204430218</v>
      </c>
      <c r="W92" s="4">
        <v>8757.2094278527838</v>
      </c>
      <c r="X92" s="4">
        <v>0.1969347213458966</v>
      </c>
      <c r="Y92" s="4">
        <v>8.614328612439387E-2</v>
      </c>
      <c r="Z92" s="4">
        <v>1352.383062900707</v>
      </c>
      <c r="AA92" s="4">
        <v>845.43996235407064</v>
      </c>
      <c r="AB92" s="4">
        <v>0.14953417487934689</v>
      </c>
      <c r="AC92" s="4">
        <v>9.3481034071427174E-2</v>
      </c>
    </row>
    <row r="93" spans="1:29" x14ac:dyDescent="0.25">
      <c r="A93" s="14" t="s">
        <v>153</v>
      </c>
      <c r="B93" s="4">
        <v>567.57805979689169</v>
      </c>
      <c r="C93" s="4">
        <v>3.513035456618975</v>
      </c>
      <c r="D93" s="4">
        <v>1.3925919467712049E-3</v>
      </c>
      <c r="E93" s="4">
        <v>8.6194749799877262E-6</v>
      </c>
      <c r="F93" s="20">
        <v>3.1310335956084172E-7</v>
      </c>
      <c r="G93" s="20">
        <v>3.8491652763359902E-6</v>
      </c>
      <c r="H93" s="4">
        <v>1.9222022849788929E-3</v>
      </c>
      <c r="I93" s="4">
        <v>2.3630772597943699E-2</v>
      </c>
      <c r="J93" s="4">
        <v>16.640832354504571</v>
      </c>
      <c r="K93" s="4">
        <v>231.6211817711071</v>
      </c>
      <c r="L93" s="4">
        <v>1.0570304818874371E-3</v>
      </c>
      <c r="M93" s="4">
        <v>1.471264442590078E-2</v>
      </c>
      <c r="N93" s="4">
        <v>18.17776524049572</v>
      </c>
      <c r="O93" s="4">
        <v>7.9358891438832604</v>
      </c>
      <c r="P93" s="4">
        <v>7.8915617539899782E-3</v>
      </c>
      <c r="Q93" s="4">
        <v>3.4452287408936479E-3</v>
      </c>
      <c r="R93" s="4">
        <v>501.15511303508731</v>
      </c>
      <c r="S93" s="4">
        <v>5.1814102042658527</v>
      </c>
      <c r="T93" s="4">
        <v>8.3432368637543896E-3</v>
      </c>
      <c r="U93" s="4">
        <v>8.6260184717375894E-5</v>
      </c>
      <c r="V93" s="4">
        <v>420.96430182840072</v>
      </c>
      <c r="W93" s="4">
        <v>575.20920795217</v>
      </c>
      <c r="X93" s="4">
        <v>4.1409593546115698E-3</v>
      </c>
      <c r="Y93" s="4">
        <v>5.6582421364061424E-3</v>
      </c>
      <c r="Z93" s="4">
        <v>18.841638709099279</v>
      </c>
      <c r="AA93" s="4">
        <v>11.299573698332759</v>
      </c>
      <c r="AB93" s="4">
        <v>2.0833364266606351E-3</v>
      </c>
      <c r="AC93" s="4">
        <v>1.2494037198635169E-3</v>
      </c>
    </row>
    <row r="94" spans="1:29" x14ac:dyDescent="0.25">
      <c r="A94" s="14" t="s">
        <v>154</v>
      </c>
      <c r="B94" s="4">
        <v>37951.316762976341</v>
      </c>
      <c r="C94" s="4">
        <v>196.52939943707099</v>
      </c>
      <c r="D94" s="4">
        <v>9.311617526652903E-2</v>
      </c>
      <c r="E94" s="4">
        <v>4.8219844695509341E-4</v>
      </c>
      <c r="F94" s="20">
        <v>1.3740355943301399E-5</v>
      </c>
      <c r="G94" s="20">
        <v>6.8596848320205685E-7</v>
      </c>
      <c r="H94" s="4">
        <v>8.4354711580489988E-2</v>
      </c>
      <c r="I94" s="4">
        <v>4.2112936369763749E-3</v>
      </c>
      <c r="J94" s="4">
        <v>1296.13776704261</v>
      </c>
      <c r="K94" s="4">
        <v>806.05135104905537</v>
      </c>
      <c r="L94" s="4">
        <v>8.233104566543456E-2</v>
      </c>
      <c r="M94" s="4">
        <v>5.120061484152659E-2</v>
      </c>
      <c r="N94" s="4">
        <v>275.93370501973959</v>
      </c>
      <c r="O94" s="4">
        <v>44.796872234150818</v>
      </c>
      <c r="P94" s="4">
        <v>0.11979183603490889</v>
      </c>
      <c r="Q94" s="4">
        <v>1.9447785739571989E-2</v>
      </c>
      <c r="R94" s="4">
        <v>11551.455917386471</v>
      </c>
      <c r="S94" s="4">
        <v>1719.644031139318</v>
      </c>
      <c r="T94" s="4">
        <v>0.19230878890229941</v>
      </c>
      <c r="U94" s="4">
        <v>2.8628656278185591E-2</v>
      </c>
      <c r="V94" s="4">
        <v>8842.0822698989214</v>
      </c>
      <c r="W94" s="4">
        <v>28982.637047197812</v>
      </c>
      <c r="X94" s="4">
        <v>8.6978166867718004E-2</v>
      </c>
      <c r="Y94" s="4">
        <v>0.28509762343417938</v>
      </c>
      <c r="Z94" s="4">
        <v>503.01188793579519</v>
      </c>
      <c r="AA94" s="4">
        <v>431.19117759566831</v>
      </c>
      <c r="AB94" s="4">
        <v>5.5618463200543748E-2</v>
      </c>
      <c r="AC94" s="4">
        <v>4.7677184612712198E-2</v>
      </c>
    </row>
    <row r="95" spans="1:29" x14ac:dyDescent="0.25">
      <c r="A95" s="14" t="s">
        <v>155</v>
      </c>
      <c r="B95" s="4">
        <v>43807.738687827579</v>
      </c>
      <c r="C95" s="4">
        <v>38351.993682801323</v>
      </c>
      <c r="D95" s="4">
        <v>0.10748531069850931</v>
      </c>
      <c r="E95" s="4">
        <v>9.4099263746032669E-2</v>
      </c>
      <c r="F95" s="20">
        <v>1.8261432124661741E-5</v>
      </c>
      <c r="G95" s="20">
        <v>5.2554838311477702E-5</v>
      </c>
      <c r="H95" s="4">
        <v>0.1121104756149726</v>
      </c>
      <c r="I95" s="4">
        <v>0.32264435115199858</v>
      </c>
      <c r="J95" s="4">
        <v>1179.988670265604</v>
      </c>
      <c r="K95" s="4">
        <v>283.7620579892486</v>
      </c>
      <c r="L95" s="4">
        <v>7.495322146039983E-2</v>
      </c>
      <c r="M95" s="4">
        <v>1.802464795678042E-2</v>
      </c>
      <c r="N95" s="4">
        <v>861.82731810261748</v>
      </c>
      <c r="O95" s="4">
        <v>329.13808412288722</v>
      </c>
      <c r="P95" s="4">
        <v>0.37414739447349682</v>
      </c>
      <c r="Q95" s="4">
        <v>0.14288959517748059</v>
      </c>
      <c r="R95" s="4">
        <v>19125.670723711479</v>
      </c>
      <c r="S95" s="4">
        <v>1895.2723943712999</v>
      </c>
      <c r="T95" s="4">
        <v>0.31840441586979429</v>
      </c>
      <c r="U95" s="4">
        <v>3.1552519561877802E-2</v>
      </c>
      <c r="V95" s="4">
        <v>18706.621651536279</v>
      </c>
      <c r="W95" s="4">
        <v>4085.9516186295582</v>
      </c>
      <c r="X95" s="4">
        <v>0.18401408286797011</v>
      </c>
      <c r="Y95" s="4">
        <v>4.019286078217487E-2</v>
      </c>
      <c r="Z95" s="4">
        <v>918.42134167973575</v>
      </c>
      <c r="AA95" s="4">
        <v>349.3439784937172</v>
      </c>
      <c r="AB95" s="4">
        <v>0.10155064884138169</v>
      </c>
      <c r="AC95" s="4">
        <v>3.8627268416893588E-2</v>
      </c>
    </row>
    <row r="96" spans="1:29" x14ac:dyDescent="0.25">
      <c r="A96" s="14" t="s">
        <v>156</v>
      </c>
      <c r="B96" s="4">
        <v>55624.047735065898</v>
      </c>
      <c r="C96" s="4">
        <v>64105.292407149529</v>
      </c>
      <c r="D96" s="4">
        <v>0.13647744056630651</v>
      </c>
      <c r="E96" s="4">
        <v>0.15728675978693729</v>
      </c>
      <c r="F96" s="20">
        <v>1.104438156020915E-5</v>
      </c>
      <c r="G96" s="20">
        <v>5.4439086244904723E-6</v>
      </c>
      <c r="H96" s="4">
        <v>6.7803601663646448E-2</v>
      </c>
      <c r="I96" s="4">
        <v>3.3421211487123903E-2</v>
      </c>
      <c r="J96" s="4">
        <v>1947.1588400920559</v>
      </c>
      <c r="K96" s="4">
        <v>3127.0052364139619</v>
      </c>
      <c r="L96" s="4">
        <v>0.12368409243043341</v>
      </c>
      <c r="M96" s="4">
        <v>0.1986282766087992</v>
      </c>
      <c r="N96" s="4">
        <v>215.54691119047959</v>
      </c>
      <c r="O96" s="4">
        <v>40.572717598353577</v>
      </c>
      <c r="P96" s="4">
        <v>9.3575956012020525E-2</v>
      </c>
      <c r="Q96" s="4">
        <v>1.7613942210086081E-2</v>
      </c>
      <c r="R96" s="4">
        <v>5825.2383129607251</v>
      </c>
      <c r="S96" s="4">
        <v>52.879441898433193</v>
      </c>
      <c r="T96" s="4">
        <v>9.6978643475289936E-2</v>
      </c>
      <c r="U96" s="4">
        <v>8.8033763899936007E-4</v>
      </c>
      <c r="V96" s="4">
        <v>14833.479713346011</v>
      </c>
      <c r="W96" s="4">
        <v>10609.19792513724</v>
      </c>
      <c r="X96" s="4">
        <v>0.1459145973034548</v>
      </c>
      <c r="Y96" s="4">
        <v>0.1043610044894757</v>
      </c>
      <c r="Z96" s="4">
        <v>1290.2450983937331</v>
      </c>
      <c r="AA96" s="4">
        <v>2046.6543795980031</v>
      </c>
      <c r="AB96" s="4">
        <v>0.1426635259440498</v>
      </c>
      <c r="AC96" s="4">
        <v>0.22630035994384451</v>
      </c>
    </row>
    <row r="97" spans="1:29" x14ac:dyDescent="0.25">
      <c r="A97" s="14" t="s">
        <v>157</v>
      </c>
      <c r="B97" s="4">
        <v>14426.580654141029</v>
      </c>
      <c r="C97" s="4">
        <v>15376.369683926299</v>
      </c>
      <c r="D97" s="4">
        <v>3.5396611429256791E-2</v>
      </c>
      <c r="E97" s="4">
        <v>3.7726984372995882E-2</v>
      </c>
      <c r="F97" s="20">
        <v>7.9740858671096536E-6</v>
      </c>
      <c r="G97" s="20">
        <v>3.7196443586129068E-7</v>
      </c>
      <c r="H97" s="4">
        <v>4.8954460584117752E-2</v>
      </c>
      <c r="I97" s="4">
        <v>2.28356185492964E-3</v>
      </c>
      <c r="J97" s="4">
        <v>537.31480002344347</v>
      </c>
      <c r="K97" s="4">
        <v>190.26247196215891</v>
      </c>
      <c r="L97" s="4">
        <v>3.4130391430828237E-2</v>
      </c>
      <c r="M97" s="4">
        <v>1.208552722236972E-2</v>
      </c>
      <c r="N97" s="4">
        <v>71.661622752509928</v>
      </c>
      <c r="O97" s="4">
        <v>5.9807515272158369</v>
      </c>
      <c r="P97" s="4">
        <v>3.111065160434117E-2</v>
      </c>
      <c r="Q97" s="4">
        <v>2.5964396276363468E-3</v>
      </c>
      <c r="R97" s="4">
        <v>1345.0559807345489</v>
      </c>
      <c r="S97" s="4">
        <v>4.664926815530607</v>
      </c>
      <c r="T97" s="4">
        <v>2.2392509525273691E-2</v>
      </c>
      <c r="U97" s="4">
        <v>7.7661762519674017E-5</v>
      </c>
      <c r="V97" s="4">
        <v>8131.2032400832368</v>
      </c>
      <c r="W97" s="4">
        <v>2485.0499263524462</v>
      </c>
      <c r="X97" s="4">
        <v>7.9985362119840794E-2</v>
      </c>
      <c r="Y97" s="4">
        <v>2.444504366406039E-2</v>
      </c>
      <c r="Z97" s="4">
        <v>740.48110720084946</v>
      </c>
      <c r="AA97" s="4">
        <v>2764.3458371227439</v>
      </c>
      <c r="AB97" s="4">
        <v>8.1875641906906882E-2</v>
      </c>
      <c r="AC97" s="4">
        <v>0.30565613040782103</v>
      </c>
    </row>
    <row r="98" spans="1:29" x14ac:dyDescent="0.25">
      <c r="A98" s="14" t="s">
        <v>158</v>
      </c>
      <c r="B98" s="4">
        <v>33927.615236395592</v>
      </c>
      <c r="C98" s="4">
        <v>122655.1013742244</v>
      </c>
      <c r="D98" s="4">
        <v>8.3243745835179059E-2</v>
      </c>
      <c r="E98" s="4">
        <v>0.30094275748656402</v>
      </c>
      <c r="F98" s="20">
        <v>7.3130976986877114E-6</v>
      </c>
      <c r="G98" s="20">
        <v>2.6397318542873191E-6</v>
      </c>
      <c r="H98" s="4">
        <v>4.4896525947240168E-2</v>
      </c>
      <c r="I98" s="4">
        <v>1.6205826118121429E-2</v>
      </c>
      <c r="J98" s="4">
        <v>1366.007328728668</v>
      </c>
      <c r="K98" s="4">
        <v>3052.390988535612</v>
      </c>
      <c r="L98" s="4">
        <v>8.6769180422455017E-2</v>
      </c>
      <c r="M98" s="4">
        <v>0.19388875801319411</v>
      </c>
      <c r="N98" s="4">
        <v>105.9912133437807</v>
      </c>
      <c r="O98" s="4">
        <v>28.988692660958019</v>
      </c>
      <c r="P98" s="4">
        <v>4.6014248419238693E-2</v>
      </c>
      <c r="Q98" s="4">
        <v>1.2584938537535411E-2</v>
      </c>
      <c r="R98" s="4">
        <v>2426.1601334267052</v>
      </c>
      <c r="S98" s="4">
        <v>37.430010069415033</v>
      </c>
      <c r="T98" s="4">
        <v>4.0390745571740293E-2</v>
      </c>
      <c r="U98" s="4">
        <v>6.2313529623707006E-4</v>
      </c>
      <c r="V98" s="4">
        <v>11600.04812817982</v>
      </c>
      <c r="W98" s="4">
        <v>4457.8653451984192</v>
      </c>
      <c r="X98" s="4">
        <v>0.1141078414528163</v>
      </c>
      <c r="Y98" s="4">
        <v>4.3851317374467028E-2</v>
      </c>
      <c r="Z98" s="4">
        <v>659.6292453785195</v>
      </c>
      <c r="AA98" s="4">
        <v>411.87382165669112</v>
      </c>
      <c r="AB98" s="4">
        <v>7.2935781022277671E-2</v>
      </c>
      <c r="AC98" s="4">
        <v>4.5541247717000202E-2</v>
      </c>
    </row>
    <row r="99" spans="1:29" x14ac:dyDescent="0.25">
      <c r="A99" s="14" t="s">
        <v>159</v>
      </c>
      <c r="B99" s="4">
        <v>173195.41660403821</v>
      </c>
      <c r="C99" s="4">
        <v>38989.895446924253</v>
      </c>
      <c r="D99" s="4">
        <v>0.42494690944674218</v>
      </c>
      <c r="E99" s="4">
        <v>9.5664399755459525E-2</v>
      </c>
      <c r="F99" s="20">
        <v>5.9721547673940737E-5</v>
      </c>
      <c r="G99" s="20">
        <v>1.7886304336865629E-5</v>
      </c>
      <c r="H99" s="4">
        <v>0.36664217069512989</v>
      </c>
      <c r="I99" s="4">
        <v>0.1098074933286371</v>
      </c>
      <c r="J99" s="4">
        <v>6214.0035709980848</v>
      </c>
      <c r="K99" s="4">
        <v>3059.8360173699598</v>
      </c>
      <c r="L99" s="4">
        <v>0.39471530324769699</v>
      </c>
      <c r="M99" s="4">
        <v>0.19436166839704919</v>
      </c>
      <c r="N99" s="4">
        <v>809.91735932971881</v>
      </c>
      <c r="O99" s="4">
        <v>988.52702059972466</v>
      </c>
      <c r="P99" s="4">
        <v>0.35161158548467791</v>
      </c>
      <c r="Q99" s="4">
        <v>0.42915187457540899</v>
      </c>
      <c r="R99" s="4">
        <v>30267.11823971687</v>
      </c>
      <c r="S99" s="4">
        <v>64279.014147677837</v>
      </c>
      <c r="T99" s="4">
        <v>0.5038873795537604</v>
      </c>
      <c r="U99" s="4">
        <v>1.070117866611785</v>
      </c>
      <c r="V99" s="4">
        <v>29558.218853814469</v>
      </c>
      <c r="W99" s="4">
        <v>28382.42762341084</v>
      </c>
      <c r="X99" s="4">
        <v>0.29075953076480399</v>
      </c>
      <c r="Y99" s="4">
        <v>0.27919345812286561</v>
      </c>
      <c r="Z99" s="4">
        <v>1944.272601897356</v>
      </c>
      <c r="AA99" s="4">
        <v>1827.13429629497</v>
      </c>
      <c r="AB99" s="4">
        <v>0.2149799174811079</v>
      </c>
      <c r="AC99" s="4">
        <v>0.2020278328569132</v>
      </c>
    </row>
    <row r="100" spans="1:29" x14ac:dyDescent="0.25">
      <c r="A100" s="14" t="s">
        <v>160</v>
      </c>
      <c r="B100" s="4">
        <v>12061.160472510601</v>
      </c>
      <c r="C100" s="4">
        <v>8894.6773764807858</v>
      </c>
      <c r="D100" s="4">
        <v>2.9592889740565381E-2</v>
      </c>
      <c r="E100" s="4">
        <v>2.182370489805004E-2</v>
      </c>
      <c r="F100" s="20">
        <v>2.7746077000084861E-6</v>
      </c>
      <c r="G100" s="20">
        <v>7.6500160491356444E-6</v>
      </c>
      <c r="H100" s="4">
        <v>1.7033855108922819E-2</v>
      </c>
      <c r="I100" s="4">
        <v>4.696493308279661E-2</v>
      </c>
      <c r="J100" s="4">
        <v>464.86005344144269</v>
      </c>
      <c r="K100" s="4">
        <v>1449.484739211274</v>
      </c>
      <c r="L100" s="4">
        <v>2.952804498186154E-2</v>
      </c>
      <c r="M100" s="4">
        <v>9.2071689668950685E-2</v>
      </c>
      <c r="N100" s="4">
        <v>61.34621898672227</v>
      </c>
      <c r="O100" s="4">
        <v>156.62689561146721</v>
      </c>
      <c r="P100" s="4">
        <v>2.663239782792513E-2</v>
      </c>
      <c r="Q100" s="4">
        <v>6.7996852346846992E-2</v>
      </c>
      <c r="R100" s="4">
        <v>1532.722838333081</v>
      </c>
      <c r="S100" s="4">
        <v>540.71443782828749</v>
      </c>
      <c r="T100" s="4">
        <v>2.5516789820327561E-2</v>
      </c>
      <c r="U100" s="4">
        <v>9.0018210193085462E-3</v>
      </c>
      <c r="V100" s="4">
        <v>5754.9218719985938</v>
      </c>
      <c r="W100" s="4">
        <v>3304.4617776575342</v>
      </c>
      <c r="X100" s="4">
        <v>5.6610257585750313E-2</v>
      </c>
      <c r="Y100" s="4">
        <v>3.2505468636448077E-2</v>
      </c>
      <c r="Z100" s="4">
        <v>349.74329557759722</v>
      </c>
      <c r="AA100" s="4">
        <v>23.686580887241821</v>
      </c>
      <c r="AB100" s="4">
        <v>3.8671421255162007E-2</v>
      </c>
      <c r="AC100" s="4">
        <v>2.6190459092925401E-3</v>
      </c>
    </row>
    <row r="101" spans="1:29" x14ac:dyDescent="0.25">
      <c r="A101" s="14" t="s">
        <v>161</v>
      </c>
      <c r="B101" s="4">
        <v>9130.150821101668</v>
      </c>
      <c r="C101" s="4">
        <v>1408.1015779584909</v>
      </c>
      <c r="D101" s="4">
        <v>2.2401455247975231E-2</v>
      </c>
      <c r="E101" s="4">
        <v>3.4548744156927659E-3</v>
      </c>
      <c r="F101" s="20">
        <v>4.1838653556863606E-6</v>
      </c>
      <c r="G101" s="20">
        <v>1.0195144058226001E-4</v>
      </c>
      <c r="H101" s="4">
        <v>2.5685561336755949E-2</v>
      </c>
      <c r="I101" s="4">
        <v>0.62589967836493043</v>
      </c>
      <c r="J101" s="4">
        <v>245.28409667221149</v>
      </c>
      <c r="K101" s="4">
        <v>766.08086290695758</v>
      </c>
      <c r="L101" s="4">
        <v>1.5580516730256519E-2</v>
      </c>
      <c r="M101" s="4">
        <v>4.8661677879597458E-2</v>
      </c>
      <c r="N101" s="4">
        <v>111.1488666340063</v>
      </c>
      <c r="O101" s="4">
        <v>299.82272046532478</v>
      </c>
      <c r="P101" s="4">
        <v>4.8253354211781903E-2</v>
      </c>
      <c r="Q101" s="4">
        <v>0.1301628380880587</v>
      </c>
      <c r="R101" s="4">
        <v>2764.8426100055881</v>
      </c>
      <c r="S101" s="4">
        <v>1238.1240221560561</v>
      </c>
      <c r="T101" s="4">
        <v>4.6029135862896968E-2</v>
      </c>
      <c r="U101" s="4">
        <v>2.061230488299744E-2</v>
      </c>
      <c r="V101" s="4">
        <v>3179.267976374329</v>
      </c>
      <c r="W101" s="4">
        <v>6771.9861851302994</v>
      </c>
      <c r="X101" s="4">
        <v>3.1273956984957982E-2</v>
      </c>
      <c r="Y101" s="4">
        <v>6.6614958610069289E-2</v>
      </c>
      <c r="Z101" s="4">
        <v>204.08638649916099</v>
      </c>
      <c r="AA101" s="4">
        <v>41.186564779706039</v>
      </c>
      <c r="AB101" s="4">
        <v>2.256600976930466E-2</v>
      </c>
      <c r="AC101" s="4">
        <v>4.5540343926211199E-3</v>
      </c>
    </row>
    <row r="102" spans="1:29" x14ac:dyDescent="0.25">
      <c r="A102" s="14" t="s">
        <v>162</v>
      </c>
      <c r="B102" s="4">
        <v>1057715.3284460821</v>
      </c>
      <c r="C102" s="4">
        <v>77408.50261231183</v>
      </c>
      <c r="D102" s="4">
        <v>2.5951775671131032</v>
      </c>
      <c r="E102" s="4">
        <v>0.18992710427901141</v>
      </c>
      <c r="F102" s="20">
        <v>2.03759785449741E-4</v>
      </c>
      <c r="G102" s="20">
        <v>4.5309491701602163E-4</v>
      </c>
      <c r="H102" s="4">
        <v>1.2509208643677709</v>
      </c>
      <c r="I102" s="4">
        <v>2.7816376228670872</v>
      </c>
      <c r="J102" s="4">
        <v>24669.056961806698</v>
      </c>
      <c r="K102" s="4">
        <v>10088.614257142181</v>
      </c>
      <c r="L102" s="4">
        <v>1.5669856298377141</v>
      </c>
      <c r="M102" s="4">
        <v>0.64083169415001029</v>
      </c>
      <c r="N102" s="4">
        <v>5287.2042434874438</v>
      </c>
      <c r="O102" s="4">
        <v>5879.5739267317904</v>
      </c>
      <c r="P102" s="4">
        <v>2.2953480937517692</v>
      </c>
      <c r="Q102" s="4">
        <v>2.5525151258190601</v>
      </c>
      <c r="R102" s="4">
        <v>111995.94002507759</v>
      </c>
      <c r="S102" s="4">
        <v>150670.2100139987</v>
      </c>
      <c r="T102" s="4">
        <v>1.864509871502863</v>
      </c>
      <c r="U102" s="4">
        <v>2.5083596231221099</v>
      </c>
      <c r="V102" s="4">
        <v>182787.4746977512</v>
      </c>
      <c r="W102" s="4">
        <v>194297.58622057419</v>
      </c>
      <c r="X102" s="4">
        <v>1.798051521157304</v>
      </c>
      <c r="Y102" s="4">
        <v>1.9112746704268251</v>
      </c>
      <c r="Z102" s="4">
        <v>17387.441383037029</v>
      </c>
      <c r="AA102" s="4">
        <v>7836.8667881219326</v>
      </c>
      <c r="AB102" s="4">
        <v>1.9225445598961539</v>
      </c>
      <c r="AC102" s="4">
        <v>0.86652919645978355</v>
      </c>
    </row>
    <row r="103" spans="1:29" x14ac:dyDescent="0.25">
      <c r="A103" s="14" t="s">
        <v>163</v>
      </c>
      <c r="B103" s="4">
        <v>8024.9029157819577</v>
      </c>
      <c r="C103" s="4">
        <v>499.60473845199442</v>
      </c>
      <c r="D103" s="4">
        <v>1.968965322256791E-2</v>
      </c>
      <c r="E103" s="4">
        <v>1.2258147109949151E-3</v>
      </c>
      <c r="F103" s="20">
        <v>3.621852710900616E-6</v>
      </c>
      <c r="G103" s="20">
        <v>2.1847142855008909E-6</v>
      </c>
      <c r="H103" s="4">
        <v>2.2235256646606919E-2</v>
      </c>
      <c r="I103" s="4">
        <v>1.341238496292726E-2</v>
      </c>
      <c r="J103" s="4">
        <v>405.3173275905707</v>
      </c>
      <c r="K103" s="4">
        <v>185.10097220499259</v>
      </c>
      <c r="L103" s="4">
        <v>2.574587382249632E-2</v>
      </c>
      <c r="M103" s="4">
        <v>1.175766726564691E-2</v>
      </c>
      <c r="N103" s="4">
        <v>61.900475541142733</v>
      </c>
      <c r="O103" s="4">
        <v>353.1061163386799</v>
      </c>
      <c r="P103" s="4">
        <v>2.6873018705623489E-2</v>
      </c>
      <c r="Q103" s="4">
        <v>0.15329490099203591</v>
      </c>
      <c r="R103" s="4">
        <v>1787.898923780652</v>
      </c>
      <c r="S103" s="4">
        <v>5468.8132419284784</v>
      </c>
      <c r="T103" s="4">
        <v>2.9764964621859829E-2</v>
      </c>
      <c r="U103" s="4">
        <v>9.1044874240066506E-2</v>
      </c>
      <c r="V103" s="4">
        <v>3936.553530930229</v>
      </c>
      <c r="W103" s="4">
        <v>3245.209019510181</v>
      </c>
      <c r="X103" s="4">
        <v>3.8723255387768288E-2</v>
      </c>
      <c r="Y103" s="4">
        <v>3.1922608612281862E-2</v>
      </c>
      <c r="Z103" s="4">
        <v>335.70897205559743</v>
      </c>
      <c r="AA103" s="4">
        <v>292.77811307929773</v>
      </c>
      <c r="AB103" s="4">
        <v>3.7119633861913567E-2</v>
      </c>
      <c r="AC103" s="4">
        <v>3.2372731338516682E-2</v>
      </c>
    </row>
    <row r="104" spans="1:29" x14ac:dyDescent="0.25">
      <c r="A104" s="14" t="s">
        <v>164</v>
      </c>
      <c r="B104" s="4">
        <v>13644.013681209661</v>
      </c>
      <c r="C104" s="4">
        <v>881973.54311479069</v>
      </c>
      <c r="D104" s="4">
        <v>3.3476529344506498E-2</v>
      </c>
      <c r="E104" s="4">
        <v>2.1639829662310168</v>
      </c>
      <c r="F104" s="20">
        <v>6.663502246250026E-6</v>
      </c>
      <c r="G104" s="20">
        <v>8.6707467586850161E-6</v>
      </c>
      <c r="H104" s="4">
        <v>4.0908533404653037E-2</v>
      </c>
      <c r="I104" s="4">
        <v>5.3231396991059672E-2</v>
      </c>
      <c r="J104" s="4">
        <v>516.546203122782</v>
      </c>
      <c r="K104" s="4">
        <v>6602.920808699806</v>
      </c>
      <c r="L104" s="4">
        <v>3.281116415166576E-2</v>
      </c>
      <c r="M104" s="4">
        <v>0.41941943861932102</v>
      </c>
      <c r="N104" s="4">
        <v>113.0538078434725</v>
      </c>
      <c r="O104" s="4">
        <v>93.618741682464446</v>
      </c>
      <c r="P104" s="4">
        <v>4.9080351424768957E-2</v>
      </c>
      <c r="Q104" s="4">
        <v>4.0642954265474728E-2</v>
      </c>
      <c r="R104" s="4">
        <v>3023.6499297643832</v>
      </c>
      <c r="S104" s="4">
        <v>1263.199607077393</v>
      </c>
      <c r="T104" s="4">
        <v>5.0337763500643673E-2</v>
      </c>
      <c r="U104" s="4">
        <v>2.1029763548097921E-2</v>
      </c>
      <c r="V104" s="4">
        <v>5950.5927474355212</v>
      </c>
      <c r="W104" s="4">
        <v>17452.096864660849</v>
      </c>
      <c r="X104" s="4">
        <v>5.8535041085316201E-2</v>
      </c>
      <c r="Y104" s="4">
        <v>0.17167352066533101</v>
      </c>
      <c r="Z104" s="4">
        <v>403.07790579327428</v>
      </c>
      <c r="AA104" s="4">
        <v>82.822004944952269</v>
      </c>
      <c r="AB104" s="4">
        <v>4.4568675627755718E-2</v>
      </c>
      <c r="AC104" s="4">
        <v>9.1577013281524053E-3</v>
      </c>
    </row>
    <row r="105" spans="1:29" x14ac:dyDescent="0.25">
      <c r="A105" s="14" t="s">
        <v>165</v>
      </c>
      <c r="B105" s="4">
        <v>5547.6442651028483</v>
      </c>
      <c r="C105" s="4">
        <v>233.01855210113021</v>
      </c>
      <c r="D105" s="4">
        <v>1.3611528130418391E-2</v>
      </c>
      <c r="E105" s="4">
        <v>5.717271016790937E-4</v>
      </c>
      <c r="F105" s="20">
        <v>2.1047128881038942E-6</v>
      </c>
      <c r="G105" s="20">
        <v>5.0660066503512638E-7</v>
      </c>
      <c r="H105" s="4">
        <v>1.292124085928781E-2</v>
      </c>
      <c r="I105" s="4">
        <v>3.1101197932471292E-3</v>
      </c>
      <c r="J105" s="4">
        <v>193.9056480772895</v>
      </c>
      <c r="K105" s="4">
        <v>8.1205833008220623</v>
      </c>
      <c r="L105" s="4">
        <v>1.2316942822415401E-2</v>
      </c>
      <c r="M105" s="4">
        <v>5.1582179886281115E-4</v>
      </c>
      <c r="N105" s="4">
        <v>50.451751922905331</v>
      </c>
      <c r="O105" s="4">
        <v>0.89140779936070802</v>
      </c>
      <c r="P105" s="4">
        <v>2.1902753755979981E-2</v>
      </c>
      <c r="Q105" s="4">
        <v>3.8698924777463438E-4</v>
      </c>
      <c r="R105" s="4">
        <v>1673.065201180483</v>
      </c>
      <c r="S105" s="4">
        <v>15.16617309243059</v>
      </c>
      <c r="T105" s="4">
        <v>2.785321130900317E-2</v>
      </c>
      <c r="U105" s="4">
        <v>2.5248664761799559E-4</v>
      </c>
      <c r="V105" s="4">
        <v>6850.3097124691958</v>
      </c>
      <c r="W105" s="4">
        <v>1090.0086536337731</v>
      </c>
      <c r="X105" s="4">
        <v>6.738541477894508E-2</v>
      </c>
      <c r="Y105" s="4">
        <v>1.072224298181052E-2</v>
      </c>
      <c r="Z105" s="4">
        <v>243.41080794097911</v>
      </c>
      <c r="AA105" s="4">
        <v>659.53603151421896</v>
      </c>
      <c r="AB105" s="4">
        <v>2.6914145348803341E-2</v>
      </c>
      <c r="AC105" s="4">
        <v>7.2925474283996289E-2</v>
      </c>
    </row>
    <row r="106" spans="1:29" x14ac:dyDescent="0.25">
      <c r="A106" s="14" t="s">
        <v>166</v>
      </c>
      <c r="B106" s="4">
        <v>29131.242882406579</v>
      </c>
      <c r="C106" s="4">
        <v>20989.698209403741</v>
      </c>
      <c r="D106" s="4">
        <v>7.1475515195200873E-2</v>
      </c>
      <c r="E106" s="4">
        <v>5.149967337009756E-2</v>
      </c>
      <c r="F106" s="20">
        <v>1.2961272752150189E-5</v>
      </c>
      <c r="G106" s="20">
        <v>6.1439662359899112E-5</v>
      </c>
      <c r="H106" s="4">
        <v>7.9571768681633931E-2</v>
      </c>
      <c r="I106" s="4">
        <v>0.37719001016845</v>
      </c>
      <c r="J106" s="4">
        <v>678.52436422131848</v>
      </c>
      <c r="K106" s="4">
        <v>1545.614261269975</v>
      </c>
      <c r="L106" s="4">
        <v>4.3100063771213927E-2</v>
      </c>
      <c r="M106" s="4">
        <v>9.8177864700382422E-2</v>
      </c>
      <c r="N106" s="4">
        <v>247.6417479820775</v>
      </c>
      <c r="O106" s="4">
        <v>1340.004001198846</v>
      </c>
      <c r="P106" s="4">
        <v>0.10750937319362661</v>
      </c>
      <c r="Q106" s="4">
        <v>0.58173951451944139</v>
      </c>
      <c r="R106" s="4">
        <v>4847.7677957263049</v>
      </c>
      <c r="S106" s="4">
        <v>2013.1595795471169</v>
      </c>
      <c r="T106" s="4">
        <v>8.070570154472978E-2</v>
      </c>
      <c r="U106" s="4">
        <v>3.3515106959552947E-2</v>
      </c>
      <c r="V106" s="4">
        <v>9026.1748467041871</v>
      </c>
      <c r="W106" s="4">
        <v>28816.45812147683</v>
      </c>
      <c r="X106" s="4">
        <v>8.8789056472193442E-2</v>
      </c>
      <c r="Y106" s="4">
        <v>0.28346294758633489</v>
      </c>
      <c r="Z106" s="4">
        <v>698.93842697122045</v>
      </c>
      <c r="AA106" s="4">
        <v>212.56889897268999</v>
      </c>
      <c r="AB106" s="4">
        <v>7.7282231518366523E-2</v>
      </c>
      <c r="AC106" s="4">
        <v>2.3503928572363539E-2</v>
      </c>
    </row>
    <row r="107" spans="1:29" x14ac:dyDescent="0.25">
      <c r="A107" s="14" t="s">
        <v>167</v>
      </c>
      <c r="B107" s="4">
        <v>16263.79775331677</v>
      </c>
      <c r="C107" s="4">
        <v>332.65059210739798</v>
      </c>
      <c r="D107" s="4">
        <v>3.9904350395942798E-2</v>
      </c>
      <c r="E107" s="4">
        <v>8.1618118893321632E-4</v>
      </c>
      <c r="F107" s="20">
        <v>2.3415463711249701E-6</v>
      </c>
      <c r="G107" s="20">
        <v>1.2471618610638761E-5</v>
      </c>
      <c r="H107" s="4">
        <v>1.43752075713063E-2</v>
      </c>
      <c r="I107" s="4">
        <v>7.6565686884930151E-2</v>
      </c>
      <c r="J107" s="4">
        <v>447.80454440080752</v>
      </c>
      <c r="K107" s="4">
        <v>10095.732587514491</v>
      </c>
      <c r="L107" s="4">
        <v>2.844467411699143E-2</v>
      </c>
      <c r="M107" s="4">
        <v>0.64128385255311049</v>
      </c>
      <c r="N107" s="4">
        <v>112.0733345049006</v>
      </c>
      <c r="O107" s="4">
        <v>87.060030575686412</v>
      </c>
      <c r="P107" s="4">
        <v>4.8654695916673638E-2</v>
      </c>
      <c r="Q107" s="4">
        <v>3.779560350255403E-2</v>
      </c>
      <c r="R107" s="4">
        <v>2688.7502764672008</v>
      </c>
      <c r="S107" s="4">
        <v>1469.9483708321279</v>
      </c>
      <c r="T107" s="4">
        <v>4.4762349700860717E-2</v>
      </c>
      <c r="U107" s="4">
        <v>2.4471719665930401E-2</v>
      </c>
      <c r="V107" s="4">
        <v>7069.7080323957971</v>
      </c>
      <c r="W107" s="4">
        <v>25952.290561405061</v>
      </c>
      <c r="X107" s="4">
        <v>6.954360140270413E-2</v>
      </c>
      <c r="Y107" s="4">
        <v>0.25528858363304918</v>
      </c>
      <c r="Z107" s="4">
        <v>428.49093504837862</v>
      </c>
      <c r="AA107" s="4">
        <v>11.267066181664619</v>
      </c>
      <c r="AB107" s="4">
        <v>4.7378616438975223E-2</v>
      </c>
      <c r="AC107" s="4">
        <v>1.2458093353908801E-3</v>
      </c>
    </row>
    <row r="108" spans="1:29" x14ac:dyDescent="0.25">
      <c r="A108" s="14" t="s">
        <v>168</v>
      </c>
      <c r="B108" s="4">
        <v>24292.66955560194</v>
      </c>
      <c r="C108" s="4">
        <v>11792.14522715537</v>
      </c>
      <c r="D108" s="4">
        <v>5.9603741555498607E-2</v>
      </c>
      <c r="E108" s="4">
        <v>2.89328422673166E-2</v>
      </c>
      <c r="F108" s="20">
        <v>1.9760923035957181E-5</v>
      </c>
      <c r="G108" s="20">
        <v>6.5831005012303266E-6</v>
      </c>
      <c r="H108" s="4">
        <v>0.1213161413096491</v>
      </c>
      <c r="I108" s="4">
        <v>4.0414931489266608E-2</v>
      </c>
      <c r="J108" s="4">
        <v>905.44297632663938</v>
      </c>
      <c r="K108" s="4">
        <v>723.32562155494463</v>
      </c>
      <c r="L108" s="4">
        <v>5.7513999612469308E-2</v>
      </c>
      <c r="M108" s="4">
        <v>4.5945852588725022E-2</v>
      </c>
      <c r="N108" s="4">
        <v>315.17496239566339</v>
      </c>
      <c r="O108" s="4">
        <v>84.176877371247741</v>
      </c>
      <c r="P108" s="4">
        <v>0.13682774786396229</v>
      </c>
      <c r="Q108" s="4">
        <v>3.6543932504605692E-2</v>
      </c>
      <c r="R108" s="4">
        <v>5222.2473146652619</v>
      </c>
      <c r="S108" s="4">
        <v>238.35639457987699</v>
      </c>
      <c r="T108" s="4">
        <v>8.6940041464382084E-2</v>
      </c>
      <c r="U108" s="4">
        <v>3.9681603684071061E-3</v>
      </c>
      <c r="V108" s="4">
        <v>12162.43912223241</v>
      </c>
      <c r="W108" s="4">
        <v>9899.5385039731991</v>
      </c>
      <c r="X108" s="4">
        <v>0.11963999284346009</v>
      </c>
      <c r="Y108" s="4">
        <v>9.7380196839293082E-2</v>
      </c>
      <c r="Z108" s="4">
        <v>546.25872886723437</v>
      </c>
      <c r="AA108" s="4">
        <v>54.574742779396757</v>
      </c>
      <c r="AB108" s="4">
        <v>6.0400304124335273E-2</v>
      </c>
      <c r="AC108" s="4">
        <v>6.034376911868246E-3</v>
      </c>
    </row>
    <row r="109" spans="1:29" x14ac:dyDescent="0.25">
      <c r="A109" s="14" t="s">
        <v>169</v>
      </c>
      <c r="B109" s="4">
        <v>37398.531444723798</v>
      </c>
      <c r="C109" s="4">
        <v>1369.430583997625</v>
      </c>
      <c r="D109" s="4">
        <v>9.1759878332205461E-2</v>
      </c>
      <c r="E109" s="4">
        <v>3.359992462745516E-3</v>
      </c>
      <c r="F109" s="20">
        <v>1.0265219920664989E-5</v>
      </c>
      <c r="G109" s="20">
        <v>2.6540243595190068E-7</v>
      </c>
      <c r="H109" s="4">
        <v>6.3020177154882423E-2</v>
      </c>
      <c r="I109" s="4">
        <v>1.629357058133306E-3</v>
      </c>
      <c r="J109" s="4">
        <v>792.89687384128308</v>
      </c>
      <c r="K109" s="4">
        <v>252.99141177218851</v>
      </c>
      <c r="L109" s="4">
        <v>5.0365038646436509E-2</v>
      </c>
      <c r="M109" s="4">
        <v>1.6070087613529169E-2</v>
      </c>
      <c r="N109" s="4">
        <v>135.9412585164973</v>
      </c>
      <c r="O109" s="4">
        <v>62.365495803678158</v>
      </c>
      <c r="P109" s="4">
        <v>5.9016541489277083E-2</v>
      </c>
      <c r="Q109" s="4">
        <v>2.707489919368699E-2</v>
      </c>
      <c r="R109" s="4">
        <v>4092.236745417868</v>
      </c>
      <c r="S109" s="4">
        <v>3355.7971141287471</v>
      </c>
      <c r="T109" s="4">
        <v>6.8127610756692478E-2</v>
      </c>
      <c r="U109" s="4">
        <v>5.5867354161703082E-2</v>
      </c>
      <c r="V109" s="4">
        <v>4201.835497735593</v>
      </c>
      <c r="W109" s="4">
        <v>2075.9761374352888</v>
      </c>
      <c r="X109" s="4">
        <v>4.1332792199514932E-2</v>
      </c>
      <c r="Y109" s="4">
        <v>2.042104940709983E-2</v>
      </c>
      <c r="Z109" s="4">
        <v>267.52313368185708</v>
      </c>
      <c r="AA109" s="4">
        <v>16.861618253378161</v>
      </c>
      <c r="AB109" s="4">
        <v>2.958026623791785E-2</v>
      </c>
      <c r="AC109" s="4">
        <v>1.864403837801212E-3</v>
      </c>
    </row>
    <row r="110" spans="1:29" x14ac:dyDescent="0.25">
      <c r="A110" s="14" t="s">
        <v>170</v>
      </c>
      <c r="B110" s="4">
        <v>28318.142339980979</v>
      </c>
      <c r="C110" s="4">
        <v>50198.287355622328</v>
      </c>
      <c r="D110" s="4">
        <v>6.9480516890117722E-2</v>
      </c>
      <c r="E110" s="4">
        <v>0.1231649629623849</v>
      </c>
      <c r="F110" s="20">
        <v>7.0773420665649184E-6</v>
      </c>
      <c r="G110" s="20">
        <v>6.8123050806381298E-6</v>
      </c>
      <c r="H110" s="4">
        <v>4.3449176371053277E-2</v>
      </c>
      <c r="I110" s="4">
        <v>4.1822062881543137E-2</v>
      </c>
      <c r="J110" s="4">
        <v>610.63514985130655</v>
      </c>
      <c r="K110" s="4">
        <v>518.29502749568303</v>
      </c>
      <c r="L110" s="4">
        <v>3.8787721248210991E-2</v>
      </c>
      <c r="M110" s="4">
        <v>3.2922249981403341E-2</v>
      </c>
      <c r="N110" s="4">
        <v>77.621774206599056</v>
      </c>
      <c r="O110" s="4">
        <v>57.404694747668771</v>
      </c>
      <c r="P110" s="4">
        <v>3.3698148067233917E-2</v>
      </c>
      <c r="Q110" s="4">
        <v>2.492125338713079E-2</v>
      </c>
      <c r="R110" s="4">
        <v>1476.72813825509</v>
      </c>
      <c r="S110" s="4">
        <v>204.5157443920842</v>
      </c>
      <c r="T110" s="4">
        <v>2.4584589322489161E-2</v>
      </c>
      <c r="U110" s="4">
        <v>3.4047807823338371E-3</v>
      </c>
      <c r="V110" s="4">
        <v>5947.5184824066828</v>
      </c>
      <c r="W110" s="4">
        <v>2684.891447778713</v>
      </c>
      <c r="X110" s="4">
        <v>5.8504800025743153E-2</v>
      </c>
      <c r="Y110" s="4">
        <v>2.641085314955743E-2</v>
      </c>
      <c r="Z110" s="4">
        <v>416.17981627162283</v>
      </c>
      <c r="AA110" s="4">
        <v>13.757154086086709</v>
      </c>
      <c r="AB110" s="4">
        <v>4.6017365297471559E-2</v>
      </c>
      <c r="AC110" s="4">
        <v>1.521140526958854E-3</v>
      </c>
    </row>
    <row r="111" spans="1:29" x14ac:dyDescent="0.25">
      <c r="A111" s="14" t="s">
        <v>171</v>
      </c>
      <c r="B111" s="4">
        <v>327069.72899176658</v>
      </c>
      <c r="C111" s="4">
        <v>317355.00843308831</v>
      </c>
      <c r="D111" s="4">
        <v>0.80248815606009594</v>
      </c>
      <c r="E111" s="4">
        <v>0.77865241861106671</v>
      </c>
      <c r="F111" s="20">
        <v>1.303629716482397E-4</v>
      </c>
      <c r="G111" s="20">
        <v>4.2198811512906209E-4</v>
      </c>
      <c r="H111" s="4">
        <v>0.80032358110227153</v>
      </c>
      <c r="I111" s="4">
        <v>2.5906669295172429</v>
      </c>
      <c r="J111" s="4">
        <v>7582.9273494877561</v>
      </c>
      <c r="K111" s="4">
        <v>8124.7547872246623</v>
      </c>
      <c r="L111" s="4">
        <v>0.4816697374020929</v>
      </c>
      <c r="M111" s="4">
        <v>0.51608677288504712</v>
      </c>
      <c r="N111" s="4">
        <v>2015.512328118916</v>
      </c>
      <c r="O111" s="4">
        <v>198.1587825107089</v>
      </c>
      <c r="P111" s="4">
        <v>0.87499974792527246</v>
      </c>
      <c r="Q111" s="4">
        <v>8.602720128627224E-2</v>
      </c>
      <c r="R111" s="4">
        <v>46448.024696016022</v>
      </c>
      <c r="S111" s="4">
        <v>89.88040513039364</v>
      </c>
      <c r="T111" s="4">
        <v>0.7732673214595005</v>
      </c>
      <c r="U111" s="4">
        <v>1.496330157885823E-3</v>
      </c>
      <c r="V111" s="4">
        <v>86342.475269248331</v>
      </c>
      <c r="W111" s="4">
        <v>89798.794510501815</v>
      </c>
      <c r="X111" s="4">
        <v>0.849337293242166</v>
      </c>
      <c r="Y111" s="4">
        <v>0.88333655976530878</v>
      </c>
      <c r="Z111" s="4">
        <v>5470.7121804901462</v>
      </c>
      <c r="AA111" s="4">
        <v>9874.4164834672047</v>
      </c>
      <c r="AB111" s="4">
        <v>0.60490141761857386</v>
      </c>
      <c r="AC111" s="4">
        <v>1.0918228435242541</v>
      </c>
    </row>
    <row r="112" spans="1:29" x14ac:dyDescent="0.25">
      <c r="A112" s="14" t="s">
        <v>172</v>
      </c>
      <c r="B112" s="4">
        <v>10471.28981119164</v>
      </c>
      <c r="C112" s="4">
        <v>82.563789346797037</v>
      </c>
      <c r="D112" s="4">
        <v>2.5692032332241849E-2</v>
      </c>
      <c r="E112" s="4">
        <v>2.025759561255919E-4</v>
      </c>
      <c r="F112" s="20">
        <v>1.948728201242499E-5</v>
      </c>
      <c r="G112" s="20">
        <v>3.0722517902669522E-6</v>
      </c>
      <c r="H112" s="4">
        <v>0.1196362059635854</v>
      </c>
      <c r="I112" s="4">
        <v>1.8861149939638649E-2</v>
      </c>
      <c r="J112" s="4">
        <v>868.86513721490769</v>
      </c>
      <c r="K112" s="4">
        <v>3283.1000212397889</v>
      </c>
      <c r="L112" s="4">
        <v>5.5190564697736297E-2</v>
      </c>
      <c r="M112" s="4">
        <v>0.20854346246666861</v>
      </c>
      <c r="N112" s="4">
        <v>90.63480378135236</v>
      </c>
      <c r="O112" s="4">
        <v>5.4365644685595162</v>
      </c>
      <c r="P112" s="4">
        <v>3.9347529338089368E-2</v>
      </c>
      <c r="Q112" s="4">
        <v>2.3601902470171379E-3</v>
      </c>
      <c r="R112" s="4">
        <v>1715.271228778849</v>
      </c>
      <c r="S112" s="4">
        <v>187.9684072414552</v>
      </c>
      <c r="T112" s="4">
        <v>2.855585780740709E-2</v>
      </c>
      <c r="U112" s="4">
        <v>3.129300497445604E-3</v>
      </c>
      <c r="V112" s="4">
        <v>8035.1050410401431</v>
      </c>
      <c r="W112" s="4">
        <v>3370.4438689958802</v>
      </c>
      <c r="X112" s="4">
        <v>7.9040059312547081E-2</v>
      </c>
      <c r="Y112" s="4">
        <v>3.3154524048457187E-2</v>
      </c>
      <c r="Z112" s="4">
        <v>222.02587666145149</v>
      </c>
      <c r="AA112" s="4">
        <v>9.5259661950037113</v>
      </c>
      <c r="AB112" s="4">
        <v>2.4549594844246719E-2</v>
      </c>
      <c r="AC112" s="4">
        <v>1.053294391193522E-3</v>
      </c>
    </row>
    <row r="113" spans="1:29" x14ac:dyDescent="0.25">
      <c r="A113" s="14" t="s">
        <v>173</v>
      </c>
      <c r="B113" s="4">
        <v>16916.699086901561</v>
      </c>
      <c r="C113" s="4">
        <v>466.47853691916413</v>
      </c>
      <c r="D113" s="4">
        <v>4.1506288884389182E-2</v>
      </c>
      <c r="E113" s="4">
        <v>1.1445372889989909E-3</v>
      </c>
      <c r="F113" s="20">
        <v>1.0822656076072559E-5</v>
      </c>
      <c r="G113" s="20">
        <v>2.0054138976579932E-6</v>
      </c>
      <c r="H113" s="4">
        <v>6.6442385888628261E-2</v>
      </c>
      <c r="I113" s="4">
        <v>1.2311625087042741E-2</v>
      </c>
      <c r="J113" s="4">
        <v>563.90709257911067</v>
      </c>
      <c r="K113" s="4">
        <v>1763.9770491966119</v>
      </c>
      <c r="L113" s="4">
        <v>3.581954154157975E-2</v>
      </c>
      <c r="M113" s="4">
        <v>0.1120483321163887</v>
      </c>
      <c r="N113" s="4">
        <v>331.57776146437902</v>
      </c>
      <c r="O113" s="4">
        <v>80.949249298561327</v>
      </c>
      <c r="P113" s="4">
        <v>0.14394873881507711</v>
      </c>
      <c r="Q113" s="4">
        <v>3.5142713712442333E-2</v>
      </c>
      <c r="R113" s="4">
        <v>5697.478559140005</v>
      </c>
      <c r="S113" s="4">
        <v>527.14614865275121</v>
      </c>
      <c r="T113" s="4">
        <v>9.4851697425940545E-2</v>
      </c>
      <c r="U113" s="4">
        <v>8.7759359639973614E-3</v>
      </c>
      <c r="V113" s="4">
        <v>3678.351061091103</v>
      </c>
      <c r="W113" s="4">
        <v>6805.2474223321842</v>
      </c>
      <c r="X113" s="4">
        <v>3.6183358469620633E-2</v>
      </c>
      <c r="Y113" s="4">
        <v>6.6942144147510069E-2</v>
      </c>
      <c r="Z113" s="4">
        <v>194.93612950779351</v>
      </c>
      <c r="AA113" s="4">
        <v>2.9718983156723202</v>
      </c>
      <c r="AB113" s="4">
        <v>2.1554257872469069E-2</v>
      </c>
      <c r="AC113" s="4">
        <v>3.2860538899843453E-4</v>
      </c>
    </row>
    <row r="114" spans="1:29" x14ac:dyDescent="0.25">
      <c r="A114" s="14" t="s">
        <v>174</v>
      </c>
      <c r="B114" s="4">
        <v>146067.487524255</v>
      </c>
      <c r="C114" s="4">
        <v>578.67623244511583</v>
      </c>
      <c r="D114" s="4">
        <v>0.3583866629449563</v>
      </c>
      <c r="E114" s="4">
        <v>1.419822079414675E-3</v>
      </c>
      <c r="F114" s="20">
        <v>5.3399747294691407E-5</v>
      </c>
      <c r="G114" s="20">
        <v>8.096411762821097E-6</v>
      </c>
      <c r="H114" s="4">
        <v>0.32783141136243688</v>
      </c>
      <c r="I114" s="4">
        <v>4.9705442996374277E-2</v>
      </c>
      <c r="J114" s="4">
        <v>6140.023916658105</v>
      </c>
      <c r="K114" s="4">
        <v>741.4787662531304</v>
      </c>
      <c r="L114" s="4">
        <v>0.39001609421710498</v>
      </c>
      <c r="M114" s="4">
        <v>4.7098945587880289E-2</v>
      </c>
      <c r="N114" s="4">
        <v>789.88443578042836</v>
      </c>
      <c r="O114" s="4">
        <v>525.72427522800444</v>
      </c>
      <c r="P114" s="4">
        <v>0.34291463890127732</v>
      </c>
      <c r="Q114" s="4">
        <v>0.22823408315841359</v>
      </c>
      <c r="R114" s="4">
        <v>17680.9071472752</v>
      </c>
      <c r="S114" s="4">
        <v>1990.0110461972779</v>
      </c>
      <c r="T114" s="4">
        <v>0.29435197298972171</v>
      </c>
      <c r="U114" s="4">
        <v>3.312972987416999E-2</v>
      </c>
      <c r="V114" s="4">
        <v>44019.745710008472</v>
      </c>
      <c r="W114" s="4">
        <v>42710.672313366224</v>
      </c>
      <c r="X114" s="4">
        <v>0.43301528655460009</v>
      </c>
      <c r="Y114" s="4">
        <v>0.42013813829249258</v>
      </c>
      <c r="Z114" s="4">
        <v>2863.3228680578932</v>
      </c>
      <c r="AA114" s="4">
        <v>167.07170255362959</v>
      </c>
      <c r="AB114" s="4">
        <v>0.31660010705091041</v>
      </c>
      <c r="AC114" s="4">
        <v>1.847326387943601E-2</v>
      </c>
    </row>
    <row r="115" spans="1:29" x14ac:dyDescent="0.25">
      <c r="A115" s="14" t="s">
        <v>175</v>
      </c>
      <c r="B115" s="4">
        <v>19031.244777656459</v>
      </c>
      <c r="C115" s="4">
        <v>25587.255497894381</v>
      </c>
      <c r="D115" s="4">
        <v>4.6694472693112853E-2</v>
      </c>
      <c r="E115" s="4">
        <v>6.2780097523671183E-2</v>
      </c>
      <c r="F115" s="20">
        <v>1.206001669725004E-5</v>
      </c>
      <c r="G115" s="20">
        <v>1.199301673131193E-4</v>
      </c>
      <c r="H115" s="4">
        <v>7.4038782863436431E-2</v>
      </c>
      <c r="I115" s="4">
        <v>0.73627457070572422</v>
      </c>
      <c r="J115" s="4">
        <v>454.27342564582801</v>
      </c>
      <c r="K115" s="4">
        <v>1422.8731744957131</v>
      </c>
      <c r="L115" s="4">
        <v>2.8855579323776089E-2</v>
      </c>
      <c r="M115" s="4">
        <v>9.0381315385031302E-2</v>
      </c>
      <c r="N115" s="4">
        <v>275.38447694053121</v>
      </c>
      <c r="O115" s="4">
        <v>35.940218065957048</v>
      </c>
      <c r="P115" s="4">
        <v>0.1195533981825791</v>
      </c>
      <c r="Q115" s="4">
        <v>1.560282282045973E-2</v>
      </c>
      <c r="R115" s="4">
        <v>3621.376202684844</v>
      </c>
      <c r="S115" s="4">
        <v>56.92395172615354</v>
      </c>
      <c r="T115" s="4">
        <v>6.0288718294784133E-2</v>
      </c>
      <c r="U115" s="4">
        <v>9.4767069140720987E-4</v>
      </c>
      <c r="V115" s="4">
        <v>4095.6979172528258</v>
      </c>
      <c r="W115" s="4">
        <v>5475.4132317173144</v>
      </c>
      <c r="X115" s="4">
        <v>4.0288733582508687E-2</v>
      </c>
      <c r="Y115" s="4">
        <v>5.3860775233825528E-2</v>
      </c>
      <c r="Z115" s="4">
        <v>346.69945674597761</v>
      </c>
      <c r="AA115" s="4">
        <v>37.894354837373953</v>
      </c>
      <c r="AB115" s="4">
        <v>3.8334861340565268E-2</v>
      </c>
      <c r="AC115" s="4">
        <v>4.1900118676715028E-3</v>
      </c>
    </row>
    <row r="116" spans="1:29" x14ac:dyDescent="0.25">
      <c r="A116" s="14" t="s">
        <v>176</v>
      </c>
      <c r="B116" s="4">
        <v>534139.93679035082</v>
      </c>
      <c r="C116" s="4">
        <v>241117.52817747949</v>
      </c>
      <c r="D116" s="4">
        <v>1.3105492039091611</v>
      </c>
      <c r="E116" s="4">
        <v>0.59159849851401147</v>
      </c>
      <c r="F116" s="20">
        <v>1.4591505511607719E-4</v>
      </c>
      <c r="G116" s="20">
        <v>4.5449804579406778E-6</v>
      </c>
      <c r="H116" s="4">
        <v>0.89580083953855716</v>
      </c>
      <c r="I116" s="4">
        <v>2.7902517027257729E-2</v>
      </c>
      <c r="J116" s="4">
        <v>12276.51273082246</v>
      </c>
      <c r="K116" s="4">
        <v>1228.012503456009</v>
      </c>
      <c r="L116" s="4">
        <v>0.77980763770183759</v>
      </c>
      <c r="M116" s="4">
        <v>7.8003709227953924E-2</v>
      </c>
      <c r="N116" s="4">
        <v>2324.0499712250939</v>
      </c>
      <c r="O116" s="4">
        <v>982.76188971427314</v>
      </c>
      <c r="P116" s="4">
        <v>1.008946018646091</v>
      </c>
      <c r="Q116" s="4">
        <v>0.42664904291263561</v>
      </c>
      <c r="R116" s="4">
        <v>61751.97321090311</v>
      </c>
      <c r="S116" s="4">
        <v>1117.1423090457699</v>
      </c>
      <c r="T116" s="4">
        <v>1.0280476561090359</v>
      </c>
      <c r="U116" s="4">
        <v>1.8598199743874121E-2</v>
      </c>
      <c r="V116" s="4">
        <v>142066.94686256809</v>
      </c>
      <c r="W116" s="4">
        <v>79850.590219458085</v>
      </c>
      <c r="X116" s="4">
        <v>1.3974901197951559</v>
      </c>
      <c r="Y116" s="4">
        <v>0.78547764526434238</v>
      </c>
      <c r="Z116" s="4">
        <v>13340.345213004621</v>
      </c>
      <c r="AA116" s="4">
        <v>31868.439943830039</v>
      </c>
      <c r="AB116" s="4">
        <v>1.4750536063011559</v>
      </c>
      <c r="AC116" s="4">
        <v>3.5237212017957109</v>
      </c>
    </row>
    <row r="117" spans="1:29" x14ac:dyDescent="0.25">
      <c r="A117" s="14" t="s">
        <v>177</v>
      </c>
      <c r="B117" s="4">
        <v>76994.587729871229</v>
      </c>
      <c r="C117" s="4">
        <v>8474.4825978877852</v>
      </c>
      <c r="D117" s="4">
        <v>0.18891153554448031</v>
      </c>
      <c r="E117" s="4">
        <v>2.07927280048394E-2</v>
      </c>
      <c r="F117" s="20">
        <v>1.900919860489533E-5</v>
      </c>
      <c r="G117" s="20">
        <v>5.90844423361523E-7</v>
      </c>
      <c r="H117" s="4">
        <v>0.11670115914820479</v>
      </c>
      <c r="I117" s="4">
        <v>3.6273085739019799E-3</v>
      </c>
      <c r="J117" s="4">
        <v>3019.9382699287271</v>
      </c>
      <c r="K117" s="4">
        <v>3127.9056696489051</v>
      </c>
      <c r="L117" s="4">
        <v>0.19182735194546771</v>
      </c>
      <c r="M117" s="4">
        <v>0.1986854723881907</v>
      </c>
      <c r="N117" s="4">
        <v>305.00206427479429</v>
      </c>
      <c r="O117" s="4">
        <v>164.59692040485729</v>
      </c>
      <c r="P117" s="4">
        <v>0.13241136044362961</v>
      </c>
      <c r="Q117" s="4">
        <v>7.1456900488394787E-2</v>
      </c>
      <c r="R117" s="4">
        <v>7576.0534305378396</v>
      </c>
      <c r="S117" s="4">
        <v>106.10468275789469</v>
      </c>
      <c r="T117" s="4">
        <v>0.1261262364073911</v>
      </c>
      <c r="U117" s="4">
        <v>1.7664321436158879E-3</v>
      </c>
      <c r="V117" s="4">
        <v>24571.900553553511</v>
      </c>
      <c r="W117" s="4">
        <v>32675.24322688505</v>
      </c>
      <c r="X117" s="4">
        <v>0.24170990512943749</v>
      </c>
      <c r="Y117" s="4">
        <v>0.32142120725413348</v>
      </c>
      <c r="Z117" s="4">
        <v>2574.0588280584111</v>
      </c>
      <c r="AA117" s="4">
        <v>2616.3220266166418</v>
      </c>
      <c r="AB117" s="4">
        <v>0.28461592983797468</v>
      </c>
      <c r="AC117" s="4">
        <v>0.2892890085665798</v>
      </c>
    </row>
    <row r="118" spans="1:29" x14ac:dyDescent="0.25">
      <c r="A118" s="14" t="s">
        <v>178</v>
      </c>
      <c r="B118" s="4">
        <v>42714.705278220463</v>
      </c>
      <c r="C118" s="4">
        <v>2271.7769742003602</v>
      </c>
      <c r="D118" s="4">
        <v>0.1048034777814381</v>
      </c>
      <c r="E118" s="4">
        <v>5.573961615541999E-3</v>
      </c>
      <c r="F118" s="20">
        <v>1.388943669626877E-5</v>
      </c>
      <c r="G118" s="20">
        <v>7.0881224878654914E-6</v>
      </c>
      <c r="H118" s="4">
        <v>8.5269947253470937E-2</v>
      </c>
      <c r="I118" s="4">
        <v>4.3515359469459072E-2</v>
      </c>
      <c r="J118" s="4">
        <v>653.0705770338526</v>
      </c>
      <c r="K118" s="4">
        <v>165.02508311405219</v>
      </c>
      <c r="L118" s="4">
        <v>4.1483231850583217E-2</v>
      </c>
      <c r="M118" s="4">
        <v>1.04824409868141E-2</v>
      </c>
      <c r="N118" s="4">
        <v>1055.624423812415</v>
      </c>
      <c r="O118" s="4">
        <v>418.99020673466822</v>
      </c>
      <c r="P118" s="4">
        <v>0.45828104936559211</v>
      </c>
      <c r="Q118" s="4">
        <v>0.181897337049859</v>
      </c>
      <c r="R118" s="4">
        <v>28903.090772317129</v>
      </c>
      <c r="S118" s="4">
        <v>2664.8954500725981</v>
      </c>
      <c r="T118" s="4">
        <v>0.48117903247083571</v>
      </c>
      <c r="U118" s="4">
        <v>4.4365214239648773E-2</v>
      </c>
      <c r="V118" s="4">
        <v>19068.070219750702</v>
      </c>
      <c r="W118" s="4">
        <v>5421.604410845659</v>
      </c>
      <c r="X118" s="4">
        <v>0.1875695953502817</v>
      </c>
      <c r="Y118" s="4">
        <v>5.3331466360884733E-2</v>
      </c>
      <c r="Z118" s="4">
        <v>662.97844159898489</v>
      </c>
      <c r="AA118" s="4">
        <v>26.254990800457762</v>
      </c>
      <c r="AB118" s="4">
        <v>7.3306104569706695E-2</v>
      </c>
      <c r="AC118" s="4">
        <v>2.9030372336891238E-3</v>
      </c>
    </row>
    <row r="119" spans="1:29" x14ac:dyDescent="0.25">
      <c r="A119" s="14" t="s">
        <v>179</v>
      </c>
      <c r="B119" s="4">
        <v>62184.769047446804</v>
      </c>
      <c r="C119" s="4">
        <v>170330.7120650908</v>
      </c>
      <c r="D119" s="4">
        <v>0.15257462315983611</v>
      </c>
      <c r="E119" s="4">
        <v>0.41791815912428482</v>
      </c>
      <c r="F119" s="20">
        <v>3.4921397032867073E-5</v>
      </c>
      <c r="G119" s="20">
        <v>4.080208217480801E-4</v>
      </c>
      <c r="H119" s="4">
        <v>0.21438923320843001</v>
      </c>
      <c r="I119" s="4">
        <v>2.5049190049674999</v>
      </c>
      <c r="J119" s="4">
        <v>3112.2583753684562</v>
      </c>
      <c r="K119" s="4">
        <v>9426.464369035557</v>
      </c>
      <c r="L119" s="4">
        <v>0.19769155173199099</v>
      </c>
      <c r="M119" s="4">
        <v>0.59877174183532944</v>
      </c>
      <c r="N119" s="4">
        <v>808.62889342695132</v>
      </c>
      <c r="O119" s="4">
        <v>738.64351833709657</v>
      </c>
      <c r="P119" s="4">
        <v>0.35105222034242439</v>
      </c>
      <c r="Q119" s="4">
        <v>0.32066928261103811</v>
      </c>
      <c r="R119" s="4">
        <v>12991.324529634239</v>
      </c>
      <c r="S119" s="4">
        <v>1935.119682370088</v>
      </c>
      <c r="T119" s="4">
        <v>0.21627974035466421</v>
      </c>
      <c r="U119" s="4">
        <v>3.2215897732637597E-2</v>
      </c>
      <c r="V119" s="4">
        <v>29215.96024349485</v>
      </c>
      <c r="W119" s="4">
        <v>32859.821381987756</v>
      </c>
      <c r="X119" s="4">
        <v>0.28739278686765263</v>
      </c>
      <c r="Y119" s="4">
        <v>0.32323687341563412</v>
      </c>
      <c r="Z119" s="4">
        <v>2278.6309535878422</v>
      </c>
      <c r="AA119" s="4">
        <v>393.83264413638022</v>
      </c>
      <c r="AB119" s="4">
        <v>0.25195021207117418</v>
      </c>
      <c r="AC119" s="4">
        <v>4.3546418982185163E-2</v>
      </c>
    </row>
    <row r="120" spans="1:29" x14ac:dyDescent="0.25">
      <c r="A120" s="14" t="s">
        <v>180</v>
      </c>
      <c r="B120" s="4">
        <v>47362.144745140598</v>
      </c>
      <c r="C120" s="4">
        <v>2358.0252220067332</v>
      </c>
      <c r="D120" s="4">
        <v>0.1162062913029044</v>
      </c>
      <c r="E120" s="4">
        <v>5.7855776448178017E-3</v>
      </c>
      <c r="F120" s="20">
        <v>3.2877538602823681E-5</v>
      </c>
      <c r="G120" s="20">
        <v>2.9564404149936252E-6</v>
      </c>
      <c r="H120" s="4">
        <v>0.2018415896765523</v>
      </c>
      <c r="I120" s="4">
        <v>1.8150161432555319E-2</v>
      </c>
      <c r="J120" s="4">
        <v>3616.8684101337599</v>
      </c>
      <c r="K120" s="4">
        <v>786.21606157913914</v>
      </c>
      <c r="L120" s="4">
        <v>0.2297445270189406</v>
      </c>
      <c r="M120" s="4">
        <v>4.994067152017663E-2</v>
      </c>
      <c r="N120" s="4">
        <v>921.03339406901296</v>
      </c>
      <c r="O120" s="4">
        <v>109.39245885800401</v>
      </c>
      <c r="P120" s="4">
        <v>0.39985068629835541</v>
      </c>
      <c r="Q120" s="4">
        <v>4.7490840214812063E-2</v>
      </c>
      <c r="R120" s="4">
        <v>27802.349169639081</v>
      </c>
      <c r="S120" s="4">
        <v>1734.001610384094</v>
      </c>
      <c r="T120" s="4">
        <v>0.46285387190066191</v>
      </c>
      <c r="U120" s="4">
        <v>2.8867681444872648E-2</v>
      </c>
      <c r="V120" s="4">
        <v>23416.464807222608</v>
      </c>
      <c r="W120" s="4">
        <v>47617.519973299517</v>
      </c>
      <c r="X120" s="4">
        <v>0.2303440661696011</v>
      </c>
      <c r="Y120" s="4">
        <v>0.46840602378967527</v>
      </c>
      <c r="Z120" s="4">
        <v>1192.0709078480429</v>
      </c>
      <c r="AA120" s="4">
        <v>975.43969610487591</v>
      </c>
      <c r="AB120" s="4">
        <v>0.13180832006309939</v>
      </c>
      <c r="AC120" s="4">
        <v>0.10785521802435701</v>
      </c>
    </row>
    <row r="121" spans="1:29" x14ac:dyDescent="0.25">
      <c r="A121" s="14" t="s">
        <v>181</v>
      </c>
      <c r="B121" s="4">
        <v>301879.58668865188</v>
      </c>
      <c r="C121" s="4">
        <v>19404.593353798871</v>
      </c>
      <c r="D121" s="4">
        <v>0.74068240317054379</v>
      </c>
      <c r="E121" s="4">
        <v>4.7610509195053163E-2</v>
      </c>
      <c r="F121" s="20">
        <v>1.11556998090875E-4</v>
      </c>
      <c r="G121" s="20">
        <v>8.4988042916383971E-6</v>
      </c>
      <c r="H121" s="4">
        <v>0.68487005995857775</v>
      </c>
      <c r="I121" s="4">
        <v>5.2175808818816838E-2</v>
      </c>
      <c r="J121" s="4">
        <v>8060.2560188119578</v>
      </c>
      <c r="K121" s="4">
        <v>1482.6668427334821</v>
      </c>
      <c r="L121" s="4">
        <v>0.51198979246940268</v>
      </c>
      <c r="M121" s="4">
        <v>9.4179426477357636E-2</v>
      </c>
      <c r="N121" s="4">
        <v>1903.892607470078</v>
      </c>
      <c r="O121" s="4">
        <v>5361.9088972675108</v>
      </c>
      <c r="P121" s="4">
        <v>0.8265419806029678</v>
      </c>
      <c r="Q121" s="4">
        <v>2.3277798245402428</v>
      </c>
      <c r="R121" s="4">
        <v>63150.835463635391</v>
      </c>
      <c r="S121" s="4">
        <v>119535.1589678577</v>
      </c>
      <c r="T121" s="4">
        <v>1.0513359331529011</v>
      </c>
      <c r="U121" s="4">
        <v>1.9900228868772361</v>
      </c>
      <c r="V121" s="4">
        <v>66391.890160255702</v>
      </c>
      <c r="W121" s="4">
        <v>56129.472221704207</v>
      </c>
      <c r="X121" s="4">
        <v>0.65308653830111207</v>
      </c>
      <c r="Y121" s="4">
        <v>0.55213675377306126</v>
      </c>
      <c r="Z121" s="4">
        <v>4830.0782690863098</v>
      </c>
      <c r="AA121" s="4">
        <v>264.57715136044311</v>
      </c>
      <c r="AB121" s="4">
        <v>0.53406596724253286</v>
      </c>
      <c r="AC121" s="4">
        <v>2.925452640300974E-2</v>
      </c>
    </row>
    <row r="122" spans="1:29" x14ac:dyDescent="0.25">
      <c r="A122" s="14" t="s">
        <v>182</v>
      </c>
      <c r="B122" s="4">
        <v>20990.4850471467</v>
      </c>
      <c r="C122" s="4">
        <v>1611.3593806843371</v>
      </c>
      <c r="D122" s="4">
        <v>5.1501603930811359E-2</v>
      </c>
      <c r="E122" s="4">
        <v>3.9535814645447146E-3</v>
      </c>
      <c r="F122" s="20">
        <v>1.292721881235711E-5</v>
      </c>
      <c r="G122" s="20">
        <v>0</v>
      </c>
      <c r="H122" s="4">
        <v>7.936270493675876E-2</v>
      </c>
      <c r="I122" s="4">
        <v>0</v>
      </c>
      <c r="J122" s="4">
        <v>821.09195486896533</v>
      </c>
      <c r="K122" s="4">
        <v>45.31788524026409</v>
      </c>
      <c r="L122" s="4">
        <v>5.215599834428352E-2</v>
      </c>
      <c r="M122" s="4">
        <v>2.8786051714936619E-3</v>
      </c>
      <c r="N122" s="4">
        <v>247.26985355657311</v>
      </c>
      <c r="O122" s="4">
        <v>0.18750182626665551</v>
      </c>
      <c r="P122" s="4">
        <v>0.10734792167381629</v>
      </c>
      <c r="Q122" s="4">
        <v>8.140066842060611E-5</v>
      </c>
      <c r="R122" s="4">
        <v>12955.0696715667</v>
      </c>
      <c r="S122" s="4">
        <v>14.29709422786342</v>
      </c>
      <c r="T122" s="4">
        <v>0.2156761690042944</v>
      </c>
      <c r="U122" s="4">
        <v>2.3801821133595581E-4</v>
      </c>
      <c r="V122" s="4">
        <v>8102.228290957486</v>
      </c>
      <c r="W122" s="4">
        <v>0</v>
      </c>
      <c r="X122" s="4">
        <v>7.9700340121275734E-2</v>
      </c>
      <c r="Y122" s="4">
        <v>0</v>
      </c>
      <c r="Z122" s="4">
        <v>299.32322551686121</v>
      </c>
      <c r="AA122" s="4">
        <v>81.227068813086362</v>
      </c>
      <c r="AB122" s="4">
        <v>3.3096430129704112E-2</v>
      </c>
      <c r="AC122" s="4">
        <v>8.9813478488709689E-3</v>
      </c>
    </row>
    <row r="123" spans="1:29" x14ac:dyDescent="0.25">
      <c r="A123" s="14" t="s">
        <v>183</v>
      </c>
      <c r="B123" s="4">
        <v>21995.3757200574</v>
      </c>
      <c r="C123" s="4">
        <v>6253.5013291622117</v>
      </c>
      <c r="D123" s="4">
        <v>5.3967172559348048E-2</v>
      </c>
      <c r="E123" s="4">
        <v>1.534339715885193E-2</v>
      </c>
      <c r="F123" s="20">
        <v>8.2389007720027214E-6</v>
      </c>
      <c r="G123" s="20">
        <v>8.7121880773851092E-5</v>
      </c>
      <c r="H123" s="4">
        <v>5.0580210675064977E-2</v>
      </c>
      <c r="I123" s="4">
        <v>0.53485813288634976</v>
      </c>
      <c r="J123" s="4">
        <v>365.20863478211947</v>
      </c>
      <c r="K123" s="4">
        <v>649.37828959341573</v>
      </c>
      <c r="L123" s="4">
        <v>2.319815806020659E-2</v>
      </c>
      <c r="M123" s="4">
        <v>4.1248696684956392E-2</v>
      </c>
      <c r="N123" s="4">
        <v>171.31758239730991</v>
      </c>
      <c r="O123" s="4">
        <v>138.04269259714661</v>
      </c>
      <c r="P123" s="4">
        <v>7.4374559421682168E-2</v>
      </c>
      <c r="Q123" s="4">
        <v>5.992884267701816E-2</v>
      </c>
      <c r="R123" s="4">
        <v>2519.0220228478979</v>
      </c>
      <c r="S123" s="4">
        <v>186.1324794836494</v>
      </c>
      <c r="T123" s="4">
        <v>4.1936711519018843E-2</v>
      </c>
      <c r="U123" s="4">
        <v>3.0987359481679379E-3</v>
      </c>
      <c r="V123" s="4">
        <v>6011.9557283487929</v>
      </c>
      <c r="W123" s="4">
        <v>8893.0830982011557</v>
      </c>
      <c r="X123" s="4">
        <v>5.9138659037565378E-2</v>
      </c>
      <c r="Y123" s="4">
        <v>8.747985396121688E-2</v>
      </c>
      <c r="Z123" s="4">
        <v>257.80014247785152</v>
      </c>
      <c r="AA123" s="4">
        <v>1825.896800215696</v>
      </c>
      <c r="AB123" s="4">
        <v>2.850518661962417E-2</v>
      </c>
      <c r="AC123" s="4">
        <v>0.2018910018360236</v>
      </c>
    </row>
    <row r="124" spans="1:29" x14ac:dyDescent="0.25">
      <c r="A124" s="14" t="s">
        <v>184</v>
      </c>
      <c r="B124" s="4">
        <v>229662.34736397429</v>
      </c>
      <c r="C124" s="4">
        <v>3114149.068323771</v>
      </c>
      <c r="D124" s="4">
        <v>0.5634924216945445</v>
      </c>
      <c r="E124" s="4">
        <v>7.6407796931837666</v>
      </c>
      <c r="F124" s="20">
        <v>6.6315989070745584E-5</v>
      </c>
      <c r="G124" s="20">
        <v>2.3378968382449519E-4</v>
      </c>
      <c r="H124" s="4">
        <v>0.40712672614313528</v>
      </c>
      <c r="I124" s="4">
        <v>1.435280238072989</v>
      </c>
      <c r="J124" s="4">
        <v>5492.2700160787999</v>
      </c>
      <c r="K124" s="4">
        <v>4592.3508406296651</v>
      </c>
      <c r="L124" s="4">
        <v>0.3488705791919226</v>
      </c>
      <c r="M124" s="4">
        <v>0.29170745300807832</v>
      </c>
      <c r="N124" s="4">
        <v>908.78785097957939</v>
      </c>
      <c r="O124" s="4">
        <v>502.55632711026959</v>
      </c>
      <c r="P124" s="4">
        <v>0.39453449598437068</v>
      </c>
      <c r="Q124" s="4">
        <v>0.21817611998937481</v>
      </c>
      <c r="R124" s="4">
        <v>18549.26478910289</v>
      </c>
      <c r="S124" s="4">
        <v>8488.6607312315336</v>
      </c>
      <c r="T124" s="4">
        <v>0.30880840234618001</v>
      </c>
      <c r="U124" s="4">
        <v>0.14131933466227389</v>
      </c>
      <c r="V124" s="4">
        <v>36646.246866551817</v>
      </c>
      <c r="W124" s="4">
        <v>20027.508993282288</v>
      </c>
      <c r="X124" s="4">
        <v>0.36048334292087159</v>
      </c>
      <c r="Y124" s="4">
        <v>0.19700744304229861</v>
      </c>
      <c r="Z124" s="4">
        <v>3135.3209499077798</v>
      </c>
      <c r="AA124" s="4">
        <v>670.13294680631475</v>
      </c>
      <c r="AB124" s="4">
        <v>0.34667517221103528</v>
      </c>
      <c r="AC124" s="4">
        <v>7.409718445098927E-2</v>
      </c>
    </row>
    <row r="125" spans="1:29" x14ac:dyDescent="0.25">
      <c r="A125" s="14" t="s">
        <v>185</v>
      </c>
      <c r="B125" s="4">
        <v>311651.12105536408</v>
      </c>
      <c r="C125" s="4">
        <v>131814.0608119783</v>
      </c>
      <c r="D125" s="4">
        <v>0.76465753721915541</v>
      </c>
      <c r="E125" s="4">
        <v>0.32341489666400952</v>
      </c>
      <c r="F125" s="20">
        <v>1.3971991283478241E-4</v>
      </c>
      <c r="G125" s="20">
        <v>4.3044080138841118E-4</v>
      </c>
      <c r="H125" s="4">
        <v>0.85776765884839523</v>
      </c>
      <c r="I125" s="4">
        <v>2.6425596107862011</v>
      </c>
      <c r="J125" s="4">
        <v>9846.7859545185274</v>
      </c>
      <c r="K125" s="4">
        <v>2075.653789027705</v>
      </c>
      <c r="L125" s="4">
        <v>0.62547069045675996</v>
      </c>
      <c r="M125" s="4">
        <v>0.13184612873367049</v>
      </c>
      <c r="N125" s="4">
        <v>2181.7175202052299</v>
      </c>
      <c r="O125" s="4">
        <v>776.81236610781707</v>
      </c>
      <c r="P125" s="4">
        <v>0.9471548516924253</v>
      </c>
      <c r="Q125" s="4">
        <v>0.33723962639511629</v>
      </c>
      <c r="R125" s="4">
        <v>38838.487374031109</v>
      </c>
      <c r="S125" s="4">
        <v>3489.8396225851252</v>
      </c>
      <c r="T125" s="4">
        <v>0.64658364479020869</v>
      </c>
      <c r="U125" s="4">
        <v>5.8098895592240303E-2</v>
      </c>
      <c r="V125" s="4">
        <v>92835.57787519283</v>
      </c>
      <c r="W125" s="4">
        <v>36002.122936842941</v>
      </c>
      <c r="X125" s="4">
        <v>0.91320891812759142</v>
      </c>
      <c r="Y125" s="4">
        <v>0.35414719755017843</v>
      </c>
      <c r="Z125" s="4">
        <v>6124.7998235127079</v>
      </c>
      <c r="AA125" s="4">
        <v>1616.2796706905769</v>
      </c>
      <c r="AB125" s="4">
        <v>0.67722445883469751</v>
      </c>
      <c r="AC125" s="4">
        <v>0.1787134529861551</v>
      </c>
    </row>
    <row r="126" spans="1:29" x14ac:dyDescent="0.25">
      <c r="A126" s="14" t="s">
        <v>186</v>
      </c>
      <c r="B126" s="4">
        <v>17519.751193681761</v>
      </c>
      <c r="C126" s="4">
        <v>505.33110790085237</v>
      </c>
      <c r="D126" s="4">
        <v>4.2985918854029033E-2</v>
      </c>
      <c r="E126" s="4">
        <v>1.2398647537001769E-3</v>
      </c>
      <c r="F126" s="20">
        <v>1.864458653965251E-5</v>
      </c>
      <c r="G126" s="20">
        <v>6.6729434743152818E-5</v>
      </c>
      <c r="H126" s="4">
        <v>0.1144627349232982</v>
      </c>
      <c r="I126" s="4">
        <v>0.40966494935904241</v>
      </c>
      <c r="J126" s="4">
        <v>835.66272148003941</v>
      </c>
      <c r="K126" s="4">
        <v>915.14288093332209</v>
      </c>
      <c r="L126" s="4">
        <v>5.3081537651709088E-2</v>
      </c>
      <c r="M126" s="4">
        <v>5.8130140357249338E-2</v>
      </c>
      <c r="N126" s="4">
        <v>245.51743825057909</v>
      </c>
      <c r="O126" s="4">
        <v>21.278432853931911</v>
      </c>
      <c r="P126" s="4">
        <v>0.10658714093851</v>
      </c>
      <c r="Q126" s="4">
        <v>9.2376628630260367E-3</v>
      </c>
      <c r="R126" s="4">
        <v>2630.8664360820289</v>
      </c>
      <c r="S126" s="4">
        <v>2.53453053008873</v>
      </c>
      <c r="T126" s="4">
        <v>4.3798698770528027E-2</v>
      </c>
      <c r="U126" s="4">
        <v>4.2194897350008152E-5</v>
      </c>
      <c r="V126" s="4">
        <v>4579.4103290673083</v>
      </c>
      <c r="W126" s="4">
        <v>5335.1155081733832</v>
      </c>
      <c r="X126" s="4">
        <v>4.5046936185306613E-2</v>
      </c>
      <c r="Y126" s="4">
        <v>5.2480688684404121E-2</v>
      </c>
      <c r="Z126" s="4">
        <v>324.57682985761801</v>
      </c>
      <c r="AA126" s="4">
        <v>259.93360490225979</v>
      </c>
      <c r="AB126" s="4">
        <v>3.5888743189086032E-2</v>
      </c>
      <c r="AC126" s="4">
        <v>2.8741085420800901E-2</v>
      </c>
    </row>
    <row r="127" spans="1:29" x14ac:dyDescent="0.25">
      <c r="A127" s="14" t="s">
        <v>187</v>
      </c>
      <c r="B127" s="4">
        <v>230827.12990567539</v>
      </c>
      <c r="C127" s="4">
        <v>101587.0753899949</v>
      </c>
      <c r="D127" s="4">
        <v>0.56635029605969034</v>
      </c>
      <c r="E127" s="4">
        <v>0.24925090151435911</v>
      </c>
      <c r="F127" s="20">
        <v>6.4942193441248292E-5</v>
      </c>
      <c r="G127" s="20">
        <v>3.5385955645947319E-5</v>
      </c>
      <c r="H127" s="4">
        <v>0.39869272817576262</v>
      </c>
      <c r="I127" s="4">
        <v>0.21724124868607281</v>
      </c>
      <c r="J127" s="4">
        <v>8436.8785452534794</v>
      </c>
      <c r="K127" s="4">
        <v>8774.0882223024018</v>
      </c>
      <c r="L127" s="4">
        <v>0.53591296422747781</v>
      </c>
      <c r="M127" s="4">
        <v>0.55733262039820075</v>
      </c>
      <c r="N127" s="4">
        <v>1224.7771125202271</v>
      </c>
      <c r="O127" s="4">
        <v>1019.830752271315</v>
      </c>
      <c r="P127" s="4">
        <v>0.53171575771012192</v>
      </c>
      <c r="Q127" s="4">
        <v>0.4427418471792115</v>
      </c>
      <c r="R127" s="4">
        <v>33420.050884888828</v>
      </c>
      <c r="S127" s="4">
        <v>2021.9069035465459</v>
      </c>
      <c r="T127" s="4">
        <v>0.55637744338813155</v>
      </c>
      <c r="U127" s="4">
        <v>3.3660732523680688E-2</v>
      </c>
      <c r="V127" s="4">
        <v>99112.104509255252</v>
      </c>
      <c r="W127" s="4">
        <v>98629.05024245636</v>
      </c>
      <c r="X127" s="4">
        <v>0.9749501193812411</v>
      </c>
      <c r="Y127" s="4">
        <v>0.97019839084702153</v>
      </c>
      <c r="Z127" s="4">
        <v>11916.97467134197</v>
      </c>
      <c r="AA127" s="4">
        <v>9327.5851312629693</v>
      </c>
      <c r="AB127" s="4">
        <v>1.317670283976363</v>
      </c>
      <c r="AC127" s="4">
        <v>1.0313592239380771</v>
      </c>
    </row>
    <row r="128" spans="1:29" x14ac:dyDescent="0.25">
      <c r="A128" s="14" t="s">
        <v>188</v>
      </c>
      <c r="B128" s="4">
        <v>-2.4389268584105542E-12</v>
      </c>
      <c r="C128" s="4">
        <v>8237.0764434454723</v>
      </c>
      <c r="D128" s="4">
        <v>-5.984075393967742E-18</v>
      </c>
      <c r="E128" s="4">
        <v>2.0210235617962091E-2</v>
      </c>
      <c r="F128" s="20">
        <v>-1.0345759862386239E-20</v>
      </c>
      <c r="G128" s="20">
        <v>9.1866472296162075E-7</v>
      </c>
      <c r="H128" s="4">
        <v>-6.3514627486638003E-17</v>
      </c>
      <c r="I128" s="4">
        <v>5.6398610097417052E-3</v>
      </c>
      <c r="J128" s="4">
        <v>-1.4488242982355331E-13</v>
      </c>
      <c r="K128" s="4">
        <v>246.51986778278189</v>
      </c>
      <c r="L128" s="4">
        <v>-9.2029738267243493E-18</v>
      </c>
      <c r="M128" s="4">
        <v>1.565901326845132E-2</v>
      </c>
      <c r="N128" s="4">
        <v>7.7571021083605527E-13</v>
      </c>
      <c r="O128" s="4">
        <v>86.115980154656484</v>
      </c>
      <c r="P128" s="4">
        <v>3.3676114478450471E-16</v>
      </c>
      <c r="Q128" s="4">
        <v>3.7385760372891368E-2</v>
      </c>
      <c r="R128" s="4">
        <v>5.6709151901311487E-12</v>
      </c>
      <c r="S128" s="4">
        <v>105.08583346375789</v>
      </c>
      <c r="T128" s="4">
        <v>9.440947011192992E-17</v>
      </c>
      <c r="U128" s="4">
        <v>1.74947032726731E-3</v>
      </c>
      <c r="V128" s="4">
        <v>-6.5102242996666444E-12</v>
      </c>
      <c r="W128" s="4">
        <v>14925.69939098732</v>
      </c>
      <c r="X128" s="4">
        <v>-6.4040048282558109E-17</v>
      </c>
      <c r="Y128" s="4">
        <v>0.14682174770825021</v>
      </c>
      <c r="Z128" s="4">
        <v>1.186559973384873E-14</v>
      </c>
      <c r="AA128" s="4">
        <v>21.530290145600858</v>
      </c>
      <c r="AB128" s="4">
        <v>1.311989712326011E-18</v>
      </c>
      <c r="AC128" s="4">
        <v>2.380622961167428E-3</v>
      </c>
    </row>
    <row r="129" spans="1:29" x14ac:dyDescent="0.25">
      <c r="A129" s="14" t="s">
        <v>189</v>
      </c>
      <c r="B129" s="4">
        <v>128714.7960017717</v>
      </c>
      <c r="C129" s="4">
        <v>11476.79076419955</v>
      </c>
      <c r="D129" s="4">
        <v>0.31581063652550179</v>
      </c>
      <c r="E129" s="4">
        <v>2.8159098325121621E-2</v>
      </c>
      <c r="F129" s="20">
        <v>8.9990761719448947E-5</v>
      </c>
      <c r="G129" s="20">
        <v>5.1046764262419578E-5</v>
      </c>
      <c r="H129" s="4">
        <v>0.55247074974455057</v>
      </c>
      <c r="I129" s="4">
        <v>0.31338599190895888</v>
      </c>
      <c r="J129" s="4">
        <v>4869.8525288330666</v>
      </c>
      <c r="K129" s="4">
        <v>3314.665131748046</v>
      </c>
      <c r="L129" s="4">
        <v>0.30933444046623981</v>
      </c>
      <c r="M129" s="4">
        <v>0.21054848741136989</v>
      </c>
      <c r="N129" s="4">
        <v>972.65472631358512</v>
      </c>
      <c r="O129" s="4">
        <v>442.02169834536159</v>
      </c>
      <c r="P129" s="4">
        <v>0.42226119308187049</v>
      </c>
      <c r="Q129" s="4">
        <v>0.19189605999119089</v>
      </c>
      <c r="R129" s="4">
        <v>50345.854882654166</v>
      </c>
      <c r="S129" s="4">
        <v>16967.123519427339</v>
      </c>
      <c r="T129" s="4">
        <v>0.8381584492878964</v>
      </c>
      <c r="U129" s="4">
        <v>0.2824688938357679</v>
      </c>
      <c r="V129" s="4">
        <v>32671.926078147131</v>
      </c>
      <c r="W129" s="4">
        <v>18070.940064373139</v>
      </c>
      <c r="X129" s="4">
        <v>0.32138857698587259</v>
      </c>
      <c r="Y129" s="4">
        <v>0.17776098348760841</v>
      </c>
      <c r="Z129" s="4">
        <v>3845.3009277233668</v>
      </c>
      <c r="AA129" s="4">
        <v>2534.872302750799</v>
      </c>
      <c r="AB129" s="4">
        <v>0.42517827763724209</v>
      </c>
      <c r="AC129" s="4">
        <v>0.28028304155431499</v>
      </c>
    </row>
    <row r="130" spans="1:29" x14ac:dyDescent="0.25">
      <c r="A130" s="14" t="s">
        <v>190</v>
      </c>
      <c r="B130" s="4">
        <v>40257.228015823341</v>
      </c>
      <c r="C130" s="4">
        <v>149472.47547101381</v>
      </c>
      <c r="D130" s="4">
        <v>9.8773887690848175E-2</v>
      </c>
      <c r="E130" s="4">
        <v>0.36674103590152568</v>
      </c>
      <c r="F130" s="20">
        <v>1.504830130069182E-5</v>
      </c>
      <c r="G130" s="20">
        <v>7.7286196646110438E-5</v>
      </c>
      <c r="H130" s="4">
        <v>9.2384441948537538E-2</v>
      </c>
      <c r="I130" s="4">
        <v>0.47447495931966721</v>
      </c>
      <c r="J130" s="4">
        <v>1191.437291999933</v>
      </c>
      <c r="K130" s="4">
        <v>7152.0126020427033</v>
      </c>
      <c r="L130" s="4">
        <v>7.5680441222667844E-2</v>
      </c>
      <c r="M130" s="4">
        <v>0.45429790807043391</v>
      </c>
      <c r="N130" s="4">
        <v>162.1562531458689</v>
      </c>
      <c r="O130" s="4">
        <v>1639.7575207840371</v>
      </c>
      <c r="P130" s="4">
        <v>7.039732709527273E-2</v>
      </c>
      <c r="Q130" s="4">
        <v>0.71187231024465814</v>
      </c>
      <c r="R130" s="4">
        <v>2654.9959334873838</v>
      </c>
      <c r="S130" s="4">
        <v>28279.013609940052</v>
      </c>
      <c r="T130" s="4">
        <v>4.4200406958312469E-2</v>
      </c>
      <c r="U130" s="4">
        <v>0.47078938772504392</v>
      </c>
      <c r="V130" s="4">
        <v>8807.2203373421326</v>
      </c>
      <c r="W130" s="4">
        <v>23104.918553256961</v>
      </c>
      <c r="X130" s="4">
        <v>8.6635235542867284E-2</v>
      </c>
      <c r="Y130" s="4">
        <v>0.22727943487153179</v>
      </c>
      <c r="Z130" s="4">
        <v>751.20611050379159</v>
      </c>
      <c r="AA130" s="4">
        <v>143.02410788877731</v>
      </c>
      <c r="AB130" s="4">
        <v>8.3061514876983752E-2</v>
      </c>
      <c r="AC130" s="4">
        <v>1.5814300361859261E-2</v>
      </c>
    </row>
    <row r="131" spans="1:29" x14ac:dyDescent="0.25">
      <c r="A131" s="14" t="s">
        <v>191</v>
      </c>
      <c r="B131" s="4">
        <v>76863.430414045477</v>
      </c>
      <c r="C131" s="4">
        <v>342.12452717971649</v>
      </c>
      <c r="D131" s="4">
        <v>0.1885897320169718</v>
      </c>
      <c r="E131" s="4">
        <v>8.3942614257125037E-4</v>
      </c>
      <c r="F131" s="20">
        <v>7.7513778215810845E-5</v>
      </c>
      <c r="G131" s="20">
        <v>4.5879940561998213E-9</v>
      </c>
      <c r="H131" s="4">
        <v>0.47587212674038981</v>
      </c>
      <c r="I131" s="4">
        <v>2.8166585854161591E-5</v>
      </c>
      <c r="J131" s="4">
        <v>16865.705285700391</v>
      </c>
      <c r="K131" s="4">
        <v>4.1907490591691774</v>
      </c>
      <c r="L131" s="4">
        <v>1.071314475485931</v>
      </c>
      <c r="M131" s="4">
        <v>2.66197591749899E-4</v>
      </c>
      <c r="N131" s="4">
        <v>1395.4004044711471</v>
      </c>
      <c r="O131" s="4">
        <v>14.17670469435639</v>
      </c>
      <c r="P131" s="4">
        <v>0.60578890296672938</v>
      </c>
      <c r="Q131" s="4">
        <v>6.1545706572532534E-3</v>
      </c>
      <c r="R131" s="4">
        <v>42560.937258206322</v>
      </c>
      <c r="S131" s="4">
        <v>944.3222178134364</v>
      </c>
      <c r="T131" s="4">
        <v>0.70855503905383344</v>
      </c>
      <c r="U131" s="4">
        <v>1.5721088609090481E-2</v>
      </c>
      <c r="V131" s="4">
        <v>41163.426875790123</v>
      </c>
      <c r="W131" s="4">
        <v>81667.298370169388</v>
      </c>
      <c r="X131" s="4">
        <v>0.40491812927799292</v>
      </c>
      <c r="Y131" s="4">
        <v>0.80334831643197424</v>
      </c>
      <c r="Z131" s="4">
        <v>1591.2744686488079</v>
      </c>
      <c r="AA131" s="4">
        <v>990.74028687744635</v>
      </c>
      <c r="AB131" s="4">
        <v>0.1759486059856408</v>
      </c>
      <c r="AC131" s="4">
        <v>0.10954701769200111</v>
      </c>
    </row>
    <row r="132" spans="1:29" x14ac:dyDescent="0.25">
      <c r="A132" s="14" t="s">
        <v>192</v>
      </c>
      <c r="B132" s="4">
        <v>130464.6132894177</v>
      </c>
      <c r="C132" s="4">
        <v>303910.03154466237</v>
      </c>
      <c r="D132" s="4">
        <v>0.32010393402183013</v>
      </c>
      <c r="E132" s="4">
        <v>0.74566423977616436</v>
      </c>
      <c r="F132" s="20">
        <v>4.4450715120582647E-5</v>
      </c>
      <c r="G132" s="20">
        <v>6.2388127399057896E-5</v>
      </c>
      <c r="H132" s="4">
        <v>0.27289156620220362</v>
      </c>
      <c r="I132" s="4">
        <v>0.38301282110235613</v>
      </c>
      <c r="J132" s="4">
        <v>5342.3499541216979</v>
      </c>
      <c r="K132" s="4">
        <v>7120.3357201490862</v>
      </c>
      <c r="L132" s="4">
        <v>0.33934761351573678</v>
      </c>
      <c r="M132" s="4">
        <v>0.4522857833750224</v>
      </c>
      <c r="N132" s="4">
        <v>806.6898596725614</v>
      </c>
      <c r="O132" s="4">
        <v>734.46750414061626</v>
      </c>
      <c r="P132" s="4">
        <v>0.35021042244189088</v>
      </c>
      <c r="Q132" s="4">
        <v>0.31885633841899591</v>
      </c>
      <c r="R132" s="4">
        <v>21339.564858454789</v>
      </c>
      <c r="S132" s="4">
        <v>3294.467794514379</v>
      </c>
      <c r="T132" s="4">
        <v>0.35526135432458922</v>
      </c>
      <c r="U132" s="4">
        <v>5.4846342848186361E-2</v>
      </c>
      <c r="V132" s="4">
        <v>44643.435069993429</v>
      </c>
      <c r="W132" s="4">
        <v>29860.690228808638</v>
      </c>
      <c r="X132" s="4">
        <v>0.43915042029013052</v>
      </c>
      <c r="Y132" s="4">
        <v>0.29373489391161761</v>
      </c>
      <c r="Z132" s="4">
        <v>5155.7396358447031</v>
      </c>
      <c r="AA132" s="4">
        <v>1951.0032269534199</v>
      </c>
      <c r="AB132" s="4">
        <v>0.57007462862272351</v>
      </c>
      <c r="AC132" s="4">
        <v>0.21572412856433609</v>
      </c>
    </row>
    <row r="133" spans="1:29" x14ac:dyDescent="0.25">
      <c r="A133" s="14" t="s">
        <v>193</v>
      </c>
      <c r="B133" s="4">
        <v>700114.26969338465</v>
      </c>
      <c r="C133" s="4">
        <v>450452.06392014353</v>
      </c>
      <c r="D133" s="4">
        <v>1.717778686060391</v>
      </c>
      <c r="E133" s="4">
        <v>1.1052152312690491</v>
      </c>
      <c r="F133" s="20">
        <v>2.2714737169431869E-4</v>
      </c>
      <c r="G133" s="20">
        <v>5.0389788720815779E-5</v>
      </c>
      <c r="H133" s="4">
        <v>1.394501794903052</v>
      </c>
      <c r="I133" s="4">
        <v>0.30935269156680573</v>
      </c>
      <c r="J133" s="4">
        <v>22226.867928110121</v>
      </c>
      <c r="K133" s="4">
        <v>156904.54583959919</v>
      </c>
      <c r="L133" s="4">
        <v>1.4118570764003191</v>
      </c>
      <c r="M133" s="4">
        <v>9.9666221115595608</v>
      </c>
      <c r="N133" s="4">
        <v>4776.3896278129932</v>
      </c>
      <c r="O133" s="4">
        <v>2469.8363729730472</v>
      </c>
      <c r="P133" s="4">
        <v>2.07358678090044</v>
      </c>
      <c r="Q133" s="4">
        <v>1.072236658450535</v>
      </c>
      <c r="R133" s="4">
        <v>167170.080394035</v>
      </c>
      <c r="S133" s="4">
        <v>13305.46434417401</v>
      </c>
      <c r="T133" s="4">
        <v>2.7830496805938969</v>
      </c>
      <c r="U133" s="4">
        <v>0.22150954408782031</v>
      </c>
      <c r="V133" s="4">
        <v>178741.10068195421</v>
      </c>
      <c r="W133" s="4">
        <v>706502.82348913408</v>
      </c>
      <c r="X133" s="4">
        <v>1.758247979003742</v>
      </c>
      <c r="Y133" s="4">
        <v>6.9497566973728571</v>
      </c>
      <c r="Z133" s="4">
        <v>16745.170084019039</v>
      </c>
      <c r="AA133" s="4">
        <v>6850.9197096476646</v>
      </c>
      <c r="AB133" s="4">
        <v>1.851528062143406</v>
      </c>
      <c r="AC133" s="4">
        <v>0.75751216800179177</v>
      </c>
    </row>
    <row r="134" spans="1:29" x14ac:dyDescent="0.25">
      <c r="A134" s="14" t="s">
        <v>194</v>
      </c>
      <c r="B134" s="4">
        <v>6637.5680391466321</v>
      </c>
      <c r="C134" s="4">
        <v>27400.557829831509</v>
      </c>
      <c r="D134" s="4">
        <v>1.6285731341992501E-2</v>
      </c>
      <c r="E134" s="4">
        <v>6.7229159958221138E-2</v>
      </c>
      <c r="F134" s="20">
        <v>3.1115143004883119E-6</v>
      </c>
      <c r="G134" s="20">
        <v>9.7084941152163934E-6</v>
      </c>
      <c r="H134" s="4">
        <v>1.9102190109144851E-2</v>
      </c>
      <c r="I134" s="4">
        <v>5.9602329397384753E-2</v>
      </c>
      <c r="J134" s="4">
        <v>235.84300462306831</v>
      </c>
      <c r="K134" s="4">
        <v>168.6887751749768</v>
      </c>
      <c r="L134" s="4">
        <v>1.4980815833951999E-2</v>
      </c>
      <c r="M134" s="4">
        <v>1.0715159765667609E-2</v>
      </c>
      <c r="N134" s="4">
        <v>96.363298513275069</v>
      </c>
      <c r="O134" s="4">
        <v>139.51338170792141</v>
      </c>
      <c r="P134" s="4">
        <v>4.1834456049721913E-2</v>
      </c>
      <c r="Q134" s="4">
        <v>6.0567316867054688E-2</v>
      </c>
      <c r="R134" s="4">
        <v>2089.649169335622</v>
      </c>
      <c r="S134" s="4">
        <v>7429.3214651278367</v>
      </c>
      <c r="T134" s="4">
        <v>3.4788506648826829E-2</v>
      </c>
      <c r="U134" s="4">
        <v>0.1236834407318451</v>
      </c>
      <c r="V134" s="4">
        <v>5141.8107393780992</v>
      </c>
      <c r="W134" s="4">
        <v>1637.4527570636669</v>
      </c>
      <c r="X134" s="4">
        <v>5.0579180202195213E-2</v>
      </c>
      <c r="Y134" s="4">
        <v>1.6107364169946441E-2</v>
      </c>
      <c r="Z134" s="4">
        <v>190.6602639617839</v>
      </c>
      <c r="AA134" s="4">
        <v>4.182220579816148</v>
      </c>
      <c r="AB134" s="4">
        <v>2.1081471689428481E-2</v>
      </c>
      <c r="AC134" s="4">
        <v>4.624317774468812E-4</v>
      </c>
    </row>
    <row r="135" spans="1:29" x14ac:dyDescent="0.25">
      <c r="A135" s="14" t="s">
        <v>195</v>
      </c>
      <c r="B135" s="4">
        <v>474980.7703987775</v>
      </c>
      <c r="C135" s="4">
        <v>14428.207804290731</v>
      </c>
      <c r="D135" s="4">
        <v>1.165398105707649</v>
      </c>
      <c r="E135" s="4">
        <v>3.5400603754463071E-2</v>
      </c>
      <c r="F135" s="20">
        <v>1.811665928639982E-4</v>
      </c>
      <c r="G135" s="20">
        <v>7.547853599359819E-5</v>
      </c>
      <c r="H135" s="4">
        <v>1.112216870663596</v>
      </c>
      <c r="I135" s="4">
        <v>0.46337737978044069</v>
      </c>
      <c r="J135" s="4">
        <v>13251.8739963384</v>
      </c>
      <c r="K135" s="4">
        <v>38812.299815627273</v>
      </c>
      <c r="L135" s="4">
        <v>0.84176286725642024</v>
      </c>
      <c r="M135" s="4">
        <v>2.46536850460889</v>
      </c>
      <c r="N135" s="4">
        <v>5510.3750056939371</v>
      </c>
      <c r="O135" s="4">
        <v>829.08052873152587</v>
      </c>
      <c r="P135" s="4">
        <v>2.3922338125591671</v>
      </c>
      <c r="Q135" s="4">
        <v>0.35993094337800308</v>
      </c>
      <c r="R135" s="4">
        <v>173662.0339172644</v>
      </c>
      <c r="S135" s="4">
        <v>11512.363789828451</v>
      </c>
      <c r="T135" s="4">
        <v>2.8911278075928628</v>
      </c>
      <c r="U135" s="4">
        <v>0.19165798265241521</v>
      </c>
      <c r="V135" s="4">
        <v>137603.6353983414</v>
      </c>
      <c r="W135" s="4">
        <v>173899.1224076181</v>
      </c>
      <c r="X135" s="4">
        <v>1.3535852298079081</v>
      </c>
      <c r="Y135" s="4">
        <v>1.7106182034079209</v>
      </c>
      <c r="Z135" s="4">
        <v>8883.7150342726836</v>
      </c>
      <c r="AA135" s="4">
        <v>11899.7565505762</v>
      </c>
      <c r="AB135" s="4">
        <v>0.98228012014873034</v>
      </c>
      <c r="AC135" s="4">
        <v>1.315766461344807</v>
      </c>
    </row>
    <row r="136" spans="1:29" x14ac:dyDescent="0.25">
      <c r="A136" s="14" t="s">
        <v>196</v>
      </c>
      <c r="B136" s="4">
        <v>210.32624665259269</v>
      </c>
      <c r="C136" s="4">
        <v>22.319047554476999</v>
      </c>
      <c r="D136" s="4">
        <v>5.1604996392536496E-4</v>
      </c>
      <c r="E136" s="4">
        <v>5.4761323746535751E-5</v>
      </c>
      <c r="F136" s="20">
        <v>5.3242720323821297E-8</v>
      </c>
      <c r="G136" s="20">
        <v>1.2538245230898281E-5</v>
      </c>
      <c r="H136" s="4">
        <v>3.2686739231571312E-4</v>
      </c>
      <c r="I136" s="4">
        <v>7.6974720636222058E-2</v>
      </c>
      <c r="J136" s="4">
        <v>11.36221569653328</v>
      </c>
      <c r="K136" s="4">
        <v>5183.3370117829418</v>
      </c>
      <c r="L136" s="4">
        <v>7.2173122576795173E-4</v>
      </c>
      <c r="M136" s="4">
        <v>0.32924706544903048</v>
      </c>
      <c r="N136" s="4">
        <v>0.81089474391920646</v>
      </c>
      <c r="O136" s="4">
        <v>0</v>
      </c>
      <c r="P136" s="4">
        <v>3.5203590006588711E-4</v>
      </c>
      <c r="Q136" s="4">
        <v>0</v>
      </c>
      <c r="R136" s="4">
        <v>11.73914094473766</v>
      </c>
      <c r="S136" s="4">
        <v>0</v>
      </c>
      <c r="T136" s="4">
        <v>1.954333716876327E-4</v>
      </c>
      <c r="U136" s="4">
        <v>0</v>
      </c>
      <c r="V136" s="4">
        <v>549.5234279670882</v>
      </c>
      <c r="W136" s="4">
        <v>0</v>
      </c>
      <c r="X136" s="4">
        <v>5.4055751752226343E-3</v>
      </c>
      <c r="Y136" s="4">
        <v>0</v>
      </c>
      <c r="Z136" s="4">
        <v>4.2448419171282339</v>
      </c>
      <c r="AA136" s="4">
        <v>223.3136867471008</v>
      </c>
      <c r="AB136" s="4">
        <v>4.6935587333486078E-4</v>
      </c>
      <c r="AC136" s="4">
        <v>2.4691989128707681E-2</v>
      </c>
    </row>
    <row r="137" spans="1:29" x14ac:dyDescent="0.25">
      <c r="A137" s="14" t="s">
        <v>197</v>
      </c>
      <c r="B137" s="4">
        <v>70411.579738252258</v>
      </c>
      <c r="C137" s="4">
        <v>14632.993746108919</v>
      </c>
      <c r="D137" s="4">
        <v>0.17275967104510259</v>
      </c>
      <c r="E137" s="4">
        <v>3.5903060198057828E-2</v>
      </c>
      <c r="F137" s="20">
        <v>1.902457381267805E-5</v>
      </c>
      <c r="G137" s="20">
        <v>7.0776360220811528E-7</v>
      </c>
      <c r="H137" s="4">
        <v>0.1167955505324858</v>
      </c>
      <c r="I137" s="4">
        <v>4.3450981021012263E-3</v>
      </c>
      <c r="J137" s="4">
        <v>3136.0114676890262</v>
      </c>
      <c r="K137" s="4">
        <v>429.65124603233153</v>
      </c>
      <c r="L137" s="4">
        <v>0.1992003550230195</v>
      </c>
      <c r="M137" s="4">
        <v>2.7291571356654901E-2</v>
      </c>
      <c r="N137" s="4">
        <v>619.58759829982012</v>
      </c>
      <c r="O137" s="4">
        <v>73.981780251716998</v>
      </c>
      <c r="P137" s="4">
        <v>0.26898321819541909</v>
      </c>
      <c r="Q137" s="4">
        <v>3.2117907773718139E-2</v>
      </c>
      <c r="R137" s="4">
        <v>16319.503424854331</v>
      </c>
      <c r="S137" s="4">
        <v>2987.73505093838</v>
      </c>
      <c r="T137" s="4">
        <v>0.27168730604745489</v>
      </c>
      <c r="U137" s="4">
        <v>4.9739852129125052E-2</v>
      </c>
      <c r="V137" s="4">
        <v>11393.93380376075</v>
      </c>
      <c r="W137" s="4">
        <v>5873.4958431143423</v>
      </c>
      <c r="X137" s="4">
        <v>0.1120803273949366</v>
      </c>
      <c r="Y137" s="4">
        <v>5.777665101334635E-2</v>
      </c>
      <c r="Z137" s="4">
        <v>412.39439209788497</v>
      </c>
      <c r="AA137" s="4">
        <v>218.17061613995619</v>
      </c>
      <c r="AB137" s="4">
        <v>4.5598807644749918E-2</v>
      </c>
      <c r="AC137" s="4">
        <v>2.4123315325638869E-2</v>
      </c>
    </row>
    <row r="138" spans="1:29" x14ac:dyDescent="0.25">
      <c r="A138" s="14" t="s">
        <v>198</v>
      </c>
      <c r="B138" s="4">
        <v>170498.07910284831</v>
      </c>
      <c r="C138" s="4">
        <v>15140.37720063228</v>
      </c>
      <c r="D138" s="4">
        <v>0.418328805703928</v>
      </c>
      <c r="E138" s="4">
        <v>3.7147960525859509E-2</v>
      </c>
      <c r="F138" s="20">
        <v>1.2327982780623259E-4</v>
      </c>
      <c r="G138" s="20">
        <v>4.709368686073235E-7</v>
      </c>
      <c r="H138" s="4">
        <v>0.75683878650588976</v>
      </c>
      <c r="I138" s="4">
        <v>2.8911728260836429E-3</v>
      </c>
      <c r="J138" s="4">
        <v>6573.5198706475994</v>
      </c>
      <c r="K138" s="4">
        <v>15.944152573000251</v>
      </c>
      <c r="L138" s="4">
        <v>0.41755188253467262</v>
      </c>
      <c r="M138" s="4">
        <v>1.012777180761824E-3</v>
      </c>
      <c r="N138" s="4">
        <v>1012.064214713352</v>
      </c>
      <c r="O138" s="4">
        <v>7.2826622546653867</v>
      </c>
      <c r="P138" s="4">
        <v>0.43937013949444009</v>
      </c>
      <c r="Q138" s="4">
        <v>3.1616416075233951E-3</v>
      </c>
      <c r="R138" s="4">
        <v>21462.913288487169</v>
      </c>
      <c r="S138" s="4">
        <v>5.5208882130987709</v>
      </c>
      <c r="T138" s="4">
        <v>0.35731486059792622</v>
      </c>
      <c r="U138" s="4">
        <v>9.1911819039882419E-5</v>
      </c>
      <c r="V138" s="4">
        <v>107900.5187667991</v>
      </c>
      <c r="W138" s="4">
        <v>52695.779739357196</v>
      </c>
      <c r="X138" s="4">
        <v>1.0614003624871591</v>
      </c>
      <c r="Y138" s="4">
        <v>0.51836006310385974</v>
      </c>
      <c r="Z138" s="4">
        <v>4785.9025807617454</v>
      </c>
      <c r="AA138" s="4">
        <v>26590.996549991429</v>
      </c>
      <c r="AB138" s="4">
        <v>0.52918142285229741</v>
      </c>
      <c r="AC138" s="4">
        <v>2.9401896824956522</v>
      </c>
    </row>
    <row r="139" spans="1:29" x14ac:dyDescent="0.25">
      <c r="A139" s="14" t="s">
        <v>199</v>
      </c>
      <c r="B139" s="4">
        <v>6001.8364036422208</v>
      </c>
      <c r="C139" s="4">
        <v>225.44950276608441</v>
      </c>
      <c r="D139" s="4">
        <v>1.4725919892924259E-2</v>
      </c>
      <c r="E139" s="4">
        <v>5.5315591668214246E-4</v>
      </c>
      <c r="F139" s="20">
        <v>2.444944711012283E-6</v>
      </c>
      <c r="G139" s="20">
        <v>7.2059882397985373E-6</v>
      </c>
      <c r="H139" s="4">
        <v>1.5009990045289291E-2</v>
      </c>
      <c r="I139" s="4">
        <v>4.423896019352741E-2</v>
      </c>
      <c r="J139" s="4">
        <v>116.13377150171461</v>
      </c>
      <c r="K139" s="4">
        <v>857.4499576965768</v>
      </c>
      <c r="L139" s="4">
        <v>7.3768507391178259E-3</v>
      </c>
      <c r="M139" s="4">
        <v>5.4465469194696338E-2</v>
      </c>
      <c r="N139" s="4">
        <v>107.87474810834659</v>
      </c>
      <c r="O139" s="4">
        <v>11.563296071215969</v>
      </c>
      <c r="P139" s="4">
        <v>4.6831952395151241E-2</v>
      </c>
      <c r="Q139" s="4">
        <v>5.0200045945351856E-3</v>
      </c>
      <c r="R139" s="4">
        <v>2793.0856150276609</v>
      </c>
      <c r="S139" s="4">
        <v>10.983071812862439</v>
      </c>
      <c r="T139" s="4">
        <v>4.6499325779181172E-2</v>
      </c>
      <c r="U139" s="4">
        <v>1.8284632291064759E-4</v>
      </c>
      <c r="V139" s="4">
        <v>1212.0642271958079</v>
      </c>
      <c r="W139" s="4">
        <v>382.70683982844639</v>
      </c>
      <c r="X139" s="4">
        <v>1.1922884382824661E-2</v>
      </c>
      <c r="Y139" s="4">
        <v>3.764626742881025E-3</v>
      </c>
      <c r="Z139" s="4">
        <v>86.866334386184505</v>
      </c>
      <c r="AA139" s="4">
        <v>3.1432884301897608</v>
      </c>
      <c r="AB139" s="4">
        <v>9.6048863621306935E-3</v>
      </c>
      <c r="AC139" s="4">
        <v>3.475561434554385E-4</v>
      </c>
    </row>
    <row r="140" spans="1:29" x14ac:dyDescent="0.25">
      <c r="A140" s="14" t="s">
        <v>200</v>
      </c>
      <c r="B140" s="4">
        <v>41100.720366637594</v>
      </c>
      <c r="C140" s="4">
        <v>1257.504148135539</v>
      </c>
      <c r="D140" s="4">
        <v>0.1008434543956066</v>
      </c>
      <c r="E140" s="4">
        <v>3.0853732266388182E-3</v>
      </c>
      <c r="F140" s="20">
        <v>7.9224962131710957E-5</v>
      </c>
      <c r="G140" s="20">
        <v>2.010757609894132E-5</v>
      </c>
      <c r="H140" s="4">
        <v>0.48637741687134151</v>
      </c>
      <c r="I140" s="4">
        <v>0.12344431173457721</v>
      </c>
      <c r="J140" s="4">
        <v>1616.4102597936239</v>
      </c>
      <c r="K140" s="4">
        <v>187.52291289727529</v>
      </c>
      <c r="L140" s="4">
        <v>0.1026748469931521</v>
      </c>
      <c r="M140" s="4">
        <v>1.191150963858407E-2</v>
      </c>
      <c r="N140" s="4">
        <v>406.92452602516443</v>
      </c>
      <c r="O140" s="4">
        <v>16.195122699453819</v>
      </c>
      <c r="P140" s="4">
        <v>0.17665923087106131</v>
      </c>
      <c r="Q140" s="4">
        <v>7.0308318544826474E-3</v>
      </c>
      <c r="R140" s="4">
        <v>6009.9580244159324</v>
      </c>
      <c r="S140" s="4">
        <v>19.494261797627701</v>
      </c>
      <c r="T140" s="4">
        <v>0.1000538596428785</v>
      </c>
      <c r="U140" s="4">
        <v>3.2454072487984192E-4</v>
      </c>
      <c r="V140" s="4">
        <v>10226.43230643449</v>
      </c>
      <c r="W140" s="4">
        <v>2215.4576770970948</v>
      </c>
      <c r="X140" s="4">
        <v>0.100595799548091</v>
      </c>
      <c r="Y140" s="4">
        <v>2.1793107284571879E-2</v>
      </c>
      <c r="Z140" s="4">
        <v>803.06613499105208</v>
      </c>
      <c r="AA140" s="4">
        <v>526.89187022766646</v>
      </c>
      <c r="AB140" s="4">
        <v>8.8795723019380893E-2</v>
      </c>
      <c r="AC140" s="4">
        <v>5.8258893671840298E-2</v>
      </c>
    </row>
    <row r="141" spans="1:29" x14ac:dyDescent="0.25">
      <c r="A141" s="14" t="s">
        <v>201</v>
      </c>
      <c r="B141" s="4">
        <v>27115.0498690411</v>
      </c>
      <c r="C141" s="4">
        <v>1355.234322861812</v>
      </c>
      <c r="D141" s="4">
        <v>6.6528646469242933E-2</v>
      </c>
      <c r="E141" s="4">
        <v>3.325160956152276E-3</v>
      </c>
      <c r="F141" s="20">
        <v>2.0859058171477019E-5</v>
      </c>
      <c r="G141" s="20">
        <v>4.703165604156932E-5</v>
      </c>
      <c r="H141" s="4">
        <v>0.1280578060099975</v>
      </c>
      <c r="I141" s="4">
        <v>0.28873646337186187</v>
      </c>
      <c r="J141" s="4">
        <v>1176.938959604284</v>
      </c>
      <c r="K141" s="4">
        <v>4324.5924059318286</v>
      </c>
      <c r="L141" s="4">
        <v>7.4759502957546187E-2</v>
      </c>
      <c r="M141" s="4">
        <v>0.27469935982928573</v>
      </c>
      <c r="N141" s="4">
        <v>784.5343495149524</v>
      </c>
      <c r="O141" s="4">
        <v>79.223737875763263</v>
      </c>
      <c r="P141" s="4">
        <v>0.34059199166744031</v>
      </c>
      <c r="Q141" s="4">
        <v>3.4393612831774639E-2</v>
      </c>
      <c r="R141" s="4">
        <v>18728.843868524509</v>
      </c>
      <c r="S141" s="4">
        <v>2892.2146332990878</v>
      </c>
      <c r="T141" s="4">
        <v>0.31179803720456889</v>
      </c>
      <c r="U141" s="4">
        <v>4.8149626969367858E-2</v>
      </c>
      <c r="V141" s="4">
        <v>7826.9294332084301</v>
      </c>
      <c r="W141" s="4">
        <v>11126.82643077285</v>
      </c>
      <c r="X141" s="4">
        <v>7.6992268735273664E-2</v>
      </c>
      <c r="Y141" s="4">
        <v>0.1094528343508569</v>
      </c>
      <c r="Z141" s="4">
        <v>210.93291852898361</v>
      </c>
      <c r="AA141" s="4">
        <v>12.731312168572471</v>
      </c>
      <c r="AB141" s="4">
        <v>2.332303678772105E-2</v>
      </c>
      <c r="AC141" s="4">
        <v>1.407712291349991E-3</v>
      </c>
    </row>
    <row r="142" spans="1:29" x14ac:dyDescent="0.25">
      <c r="A142" s="14" t="s">
        <v>202</v>
      </c>
      <c r="B142" s="4">
        <v>30259.360912950378</v>
      </c>
      <c r="C142" s="4">
        <v>4319.0986025675247</v>
      </c>
      <c r="D142" s="4">
        <v>7.4243430651455278E-2</v>
      </c>
      <c r="E142" s="4">
        <v>1.059720654705835E-2</v>
      </c>
      <c r="F142" s="20">
        <v>7.9723122378685848E-5</v>
      </c>
      <c r="G142" s="20">
        <v>1.1530643238520511E-5</v>
      </c>
      <c r="H142" s="4">
        <v>0.48943571930017482</v>
      </c>
      <c r="I142" s="4">
        <v>7.0788856470425793E-2</v>
      </c>
      <c r="J142" s="4">
        <v>5772.548835686317</v>
      </c>
      <c r="K142" s="4">
        <v>3062.026532900024</v>
      </c>
      <c r="L142" s="4">
        <v>0.36667397083971948</v>
      </c>
      <c r="M142" s="4">
        <v>0.19450081057677901</v>
      </c>
      <c r="N142" s="4">
        <v>427.31768181443653</v>
      </c>
      <c r="O142" s="4">
        <v>308.20701942070599</v>
      </c>
      <c r="P142" s="4">
        <v>0.185512566038536</v>
      </c>
      <c r="Q142" s="4">
        <v>0.13380273617756111</v>
      </c>
      <c r="R142" s="4">
        <v>5356.0774076696707</v>
      </c>
      <c r="S142" s="4">
        <v>2855.696470326885</v>
      </c>
      <c r="T142" s="4">
        <v>8.9168046599702122E-2</v>
      </c>
      <c r="U142" s="4">
        <v>4.754167211550818E-2</v>
      </c>
      <c r="V142" s="4">
        <v>16601.181962929772</v>
      </c>
      <c r="W142" s="4">
        <v>0</v>
      </c>
      <c r="X142" s="4">
        <v>0.16330320516114841</v>
      </c>
      <c r="Y142" s="4">
        <v>0</v>
      </c>
      <c r="Z142" s="4">
        <v>752.74884813669428</v>
      </c>
      <c r="AA142" s="4">
        <v>1199.446597007257</v>
      </c>
      <c r="AB142" s="4">
        <v>8.3232096722704749E-2</v>
      </c>
      <c r="AC142" s="4">
        <v>0.13262385644686919</v>
      </c>
    </row>
    <row r="143" spans="1:29" x14ac:dyDescent="0.25">
      <c r="A143" s="14" t="s">
        <v>203</v>
      </c>
      <c r="B143" s="4">
        <v>26429.361118351811</v>
      </c>
      <c r="C143" s="4">
        <v>1922.80485055851</v>
      </c>
      <c r="D143" s="4">
        <v>6.4846261789780132E-2</v>
      </c>
      <c r="E143" s="4">
        <v>4.7177344223957507E-3</v>
      </c>
      <c r="F143" s="20">
        <v>1.0335581962932219E-5</v>
      </c>
      <c r="G143" s="20">
        <v>1.793060866477907E-6</v>
      </c>
      <c r="H143" s="4">
        <v>6.3452143386773241E-2</v>
      </c>
      <c r="I143" s="4">
        <v>1.1007948619536681E-2</v>
      </c>
      <c r="J143" s="4">
        <v>1026.007936899244</v>
      </c>
      <c r="K143" s="4">
        <v>2101.199489050281</v>
      </c>
      <c r="L143" s="4">
        <v>6.5172320762390781E-2</v>
      </c>
      <c r="M143" s="4">
        <v>0.1334687989841587</v>
      </c>
      <c r="N143" s="4">
        <v>381.37068855738698</v>
      </c>
      <c r="O143" s="4">
        <v>662.53619647875848</v>
      </c>
      <c r="P143" s="4">
        <v>0.1655654751887545</v>
      </c>
      <c r="Q143" s="4">
        <v>0.28762860778496763</v>
      </c>
      <c r="R143" s="4">
        <v>8281.024232196507</v>
      </c>
      <c r="S143" s="4">
        <v>20513.22776290711</v>
      </c>
      <c r="T143" s="4">
        <v>0.1378625995159069</v>
      </c>
      <c r="U143" s="4">
        <v>0.34150448357112573</v>
      </c>
      <c r="V143" s="4">
        <v>7690.0666873844457</v>
      </c>
      <c r="W143" s="4">
        <v>12519.43823730176</v>
      </c>
      <c r="X143" s="4">
        <v>7.5645971519200758E-2</v>
      </c>
      <c r="Y143" s="4">
        <v>0.1231517367578813</v>
      </c>
      <c r="Z143" s="4">
        <v>431.98839511365043</v>
      </c>
      <c r="AA143" s="4">
        <v>30.544573463976619</v>
      </c>
      <c r="AB143" s="4">
        <v>4.7765333649047448E-2</v>
      </c>
      <c r="AC143" s="4">
        <v>3.3773401303774562E-3</v>
      </c>
    </row>
    <row r="144" spans="1:29" x14ac:dyDescent="0.25">
      <c r="A144" s="14" t="s">
        <v>204</v>
      </c>
      <c r="B144" s="4">
        <v>36962.713886358048</v>
      </c>
      <c r="C144" s="4">
        <v>4757.2631830282926</v>
      </c>
      <c r="D144" s="4">
        <v>9.0690569870460466E-2</v>
      </c>
      <c r="E144" s="4">
        <v>1.167227358951662E-2</v>
      </c>
      <c r="F144" s="20">
        <v>1.053076693248291E-5</v>
      </c>
      <c r="G144" s="20">
        <v>1.43180230219063E-5</v>
      </c>
      <c r="H144" s="4">
        <v>6.465042179231352E-2</v>
      </c>
      <c r="I144" s="4">
        <v>8.7901121877744112E-2</v>
      </c>
      <c r="J144" s="4">
        <v>1324.305851512298</v>
      </c>
      <c r="K144" s="4">
        <v>1913.184313062063</v>
      </c>
      <c r="L144" s="4">
        <v>8.4120290534113296E-2</v>
      </c>
      <c r="M144" s="4">
        <v>0.1215260206517287</v>
      </c>
      <c r="N144" s="4">
        <v>204.65191969902489</v>
      </c>
      <c r="O144" s="4">
        <v>203.95009832307301</v>
      </c>
      <c r="P144" s="4">
        <v>8.884608426890489E-2</v>
      </c>
      <c r="Q144" s="4">
        <v>8.8541400681273558E-2</v>
      </c>
      <c r="R144" s="4">
        <v>4442.8019513217423</v>
      </c>
      <c r="S144" s="4">
        <v>259.30410812220339</v>
      </c>
      <c r="T144" s="4">
        <v>7.3963824880765625E-2</v>
      </c>
      <c r="U144" s="4">
        <v>4.3168981769056659E-3</v>
      </c>
      <c r="V144" s="4">
        <v>22042.837261268749</v>
      </c>
      <c r="W144" s="4">
        <v>17685.124773465712</v>
      </c>
      <c r="X144" s="4">
        <v>0.2168319089356881</v>
      </c>
      <c r="Y144" s="4">
        <v>0.17396577940237801</v>
      </c>
      <c r="Z144" s="4">
        <v>2023.6152651839379</v>
      </c>
      <c r="AA144" s="4">
        <v>2118.5386652883699</v>
      </c>
      <c r="AB144" s="4">
        <v>0.22375290496724301</v>
      </c>
      <c r="AC144" s="4">
        <v>0.23424866811360559</v>
      </c>
    </row>
    <row r="145" spans="1:29" x14ac:dyDescent="0.25">
      <c r="A145" s="14" t="s">
        <v>205</v>
      </c>
      <c r="B145" s="4">
        <v>57356.388494373532</v>
      </c>
      <c r="C145" s="4">
        <v>7574.589446800217</v>
      </c>
      <c r="D145" s="4">
        <v>0.14072785819403971</v>
      </c>
      <c r="E145" s="4">
        <v>1.8584778043546749E-2</v>
      </c>
      <c r="F145" s="20">
        <v>1.068589394561538E-5</v>
      </c>
      <c r="G145" s="20">
        <v>3.545973726294605E-6</v>
      </c>
      <c r="H145" s="4">
        <v>6.5602776629781326E-2</v>
      </c>
      <c r="I145" s="4">
        <v>2.1769420835084079E-2</v>
      </c>
      <c r="J145" s="4">
        <v>929.14542284248751</v>
      </c>
      <c r="K145" s="4">
        <v>926.3794113349669</v>
      </c>
      <c r="L145" s="4">
        <v>5.9019585867340532E-2</v>
      </c>
      <c r="M145" s="4">
        <v>5.8843888016751382E-2</v>
      </c>
      <c r="N145" s="4">
        <v>183.93646655183539</v>
      </c>
      <c r="O145" s="4">
        <v>15.48745822644398</v>
      </c>
      <c r="P145" s="4">
        <v>7.9852829288983407E-2</v>
      </c>
      <c r="Q145" s="4">
        <v>6.7236115875259116E-3</v>
      </c>
      <c r="R145" s="4">
        <v>7606.0308504452414</v>
      </c>
      <c r="S145" s="4">
        <v>16.300315898078221</v>
      </c>
      <c r="T145" s="4">
        <v>0.12662530088532681</v>
      </c>
      <c r="U145" s="4">
        <v>2.7136787185121747E-4</v>
      </c>
      <c r="V145" s="4">
        <v>9676.7240149576701</v>
      </c>
      <c r="W145" s="4">
        <v>6824.180888577348</v>
      </c>
      <c r="X145" s="4">
        <v>9.5188405899718442E-2</v>
      </c>
      <c r="Y145" s="4">
        <v>6.7128389664820209E-2</v>
      </c>
      <c r="Z145" s="4">
        <v>1817.09058938166</v>
      </c>
      <c r="AA145" s="4">
        <v>2141.2191842880011</v>
      </c>
      <c r="AB145" s="4">
        <v>0.20091729142289791</v>
      </c>
      <c r="AC145" s="4">
        <v>0.2367564728824488</v>
      </c>
    </row>
    <row r="146" spans="1:29" x14ac:dyDescent="0.25">
      <c r="A146" s="14" t="s">
        <v>206</v>
      </c>
      <c r="B146" s="4">
        <v>168162.3699708299</v>
      </c>
      <c r="C146" s="4">
        <v>16309.129719160719</v>
      </c>
      <c r="D146" s="4">
        <v>0.41259798212626397</v>
      </c>
      <c r="E146" s="4">
        <v>4.0015575503178601E-2</v>
      </c>
      <c r="F146" s="20">
        <v>4.0673917816975133E-5</v>
      </c>
      <c r="G146" s="20">
        <v>3.1304323396187959E-6</v>
      </c>
      <c r="H146" s="4">
        <v>0.24970507463252181</v>
      </c>
      <c r="I146" s="4">
        <v>1.9218331622589301E-2</v>
      </c>
      <c r="J146" s="4">
        <v>5885.5177126379467</v>
      </c>
      <c r="K146" s="4">
        <v>10613.519295689761</v>
      </c>
      <c r="L146" s="4">
        <v>0.37384978656207069</v>
      </c>
      <c r="M146" s="4">
        <v>0.67417381394433029</v>
      </c>
      <c r="N146" s="4">
        <v>742.93216002858298</v>
      </c>
      <c r="O146" s="4">
        <v>99.109772678067529</v>
      </c>
      <c r="P146" s="4">
        <v>0.32253112207817469</v>
      </c>
      <c r="Q146" s="4">
        <v>4.3026790211289433E-2</v>
      </c>
      <c r="R146" s="4">
        <v>19475.878799131831</v>
      </c>
      <c r="S146" s="4">
        <v>391.77621510590939</v>
      </c>
      <c r="T146" s="4">
        <v>0.32423468448091591</v>
      </c>
      <c r="U146" s="4">
        <v>6.5222955432262418E-3</v>
      </c>
      <c r="V146" s="4">
        <v>47934.255708224329</v>
      </c>
      <c r="W146" s="4">
        <v>19393.329218341929</v>
      </c>
      <c r="X146" s="4">
        <v>0.47152170319237041</v>
      </c>
      <c r="Y146" s="4">
        <v>0.19076911675159269</v>
      </c>
      <c r="Z146" s="4">
        <v>5641.6676100956856</v>
      </c>
      <c r="AA146" s="4">
        <v>5648.108452936317</v>
      </c>
      <c r="AB146" s="4">
        <v>0.62380410858571544</v>
      </c>
      <c r="AC146" s="4">
        <v>0.62451627819662103</v>
      </c>
    </row>
    <row r="147" spans="1:29" x14ac:dyDescent="0.25">
      <c r="A147" s="14" t="s">
        <v>207</v>
      </c>
      <c r="B147" s="4">
        <v>19463.513266630649</v>
      </c>
      <c r="C147" s="4">
        <v>33731.591436494062</v>
      </c>
      <c r="D147" s="4">
        <v>4.7755073268131241E-2</v>
      </c>
      <c r="E147" s="4">
        <v>8.276278791158341E-2</v>
      </c>
      <c r="F147" s="20">
        <v>1.058223096662833E-5</v>
      </c>
      <c r="G147" s="20">
        <v>3.8411803309170921E-5</v>
      </c>
      <c r="H147" s="4">
        <v>6.4966369485009348E-2</v>
      </c>
      <c r="I147" s="4">
        <v>0.23581751468463749</v>
      </c>
      <c r="J147" s="4">
        <v>1010.316217500317</v>
      </c>
      <c r="K147" s="4">
        <v>2423.2645209502102</v>
      </c>
      <c r="L147" s="4">
        <v>6.4175578209822504E-2</v>
      </c>
      <c r="M147" s="4">
        <v>0.1539264629168238</v>
      </c>
      <c r="N147" s="4">
        <v>330.53800239320418</v>
      </c>
      <c r="O147" s="4">
        <v>1310.0989575955</v>
      </c>
      <c r="P147" s="4">
        <v>0.14349734543360859</v>
      </c>
      <c r="Q147" s="4">
        <v>0.56875675810085657</v>
      </c>
      <c r="R147" s="4">
        <v>13978.49970512941</v>
      </c>
      <c r="S147" s="4">
        <v>97216.421653931029</v>
      </c>
      <c r="T147" s="4">
        <v>0.23271424556263129</v>
      </c>
      <c r="U147" s="4">
        <v>1.618460256732092</v>
      </c>
      <c r="V147" s="4">
        <v>11798.055400264409</v>
      </c>
      <c r="W147" s="4">
        <v>10954.562185478821</v>
      </c>
      <c r="X147" s="4">
        <v>0.1160556077172204</v>
      </c>
      <c r="Y147" s="4">
        <v>0.1077582981754209</v>
      </c>
      <c r="Z147" s="4">
        <v>315.95732506233372</v>
      </c>
      <c r="AA147" s="4">
        <v>378.27911174229308</v>
      </c>
      <c r="AB147" s="4">
        <v>3.49356770255193E-2</v>
      </c>
      <c r="AC147" s="4">
        <v>4.1826651338821998E-2</v>
      </c>
    </row>
    <row r="148" spans="1:29" x14ac:dyDescent="0.25">
      <c r="A148" s="14" t="s">
        <v>208</v>
      </c>
      <c r="B148" s="4">
        <v>7184.9941565310737</v>
      </c>
      <c r="C148" s="4">
        <v>914.34420569040924</v>
      </c>
      <c r="D148" s="4">
        <v>1.7628879107067511E-2</v>
      </c>
      <c r="E148" s="4">
        <v>2.2434066212443662E-3</v>
      </c>
      <c r="F148" s="20">
        <v>3.0225466668641908E-6</v>
      </c>
      <c r="G148" s="20">
        <v>1.839878328213576E-7</v>
      </c>
      <c r="H148" s="4">
        <v>1.8556000541325088E-2</v>
      </c>
      <c r="I148" s="4">
        <v>1.1295370102498219E-3</v>
      </c>
      <c r="J148" s="4">
        <v>189.0474370617635</v>
      </c>
      <c r="K148" s="4">
        <v>755.10887247100959</v>
      </c>
      <c r="L148" s="4">
        <v>1.200834785423989E-2</v>
      </c>
      <c r="M148" s="4">
        <v>4.7964733875192837E-2</v>
      </c>
      <c r="N148" s="4">
        <v>50.832493713270487</v>
      </c>
      <c r="O148" s="4">
        <v>6.8263889233519004</v>
      </c>
      <c r="P148" s="4">
        <v>2.2068046205917541E-2</v>
      </c>
      <c r="Q148" s="4">
        <v>2.96355844806342E-3</v>
      </c>
      <c r="R148" s="4">
        <v>1139.2184956151191</v>
      </c>
      <c r="S148" s="4">
        <v>85.002681538366929</v>
      </c>
      <c r="T148" s="4">
        <v>1.8965724386057339E-2</v>
      </c>
      <c r="U148" s="4">
        <v>1.4151257518532491E-3</v>
      </c>
      <c r="V148" s="4">
        <v>2882.1427383873088</v>
      </c>
      <c r="W148" s="4">
        <v>5791.1861803693182</v>
      </c>
      <c r="X148" s="4">
        <v>2.8351182943573632E-2</v>
      </c>
      <c r="Y148" s="4">
        <v>5.6966983860006898E-2</v>
      </c>
      <c r="Z148" s="4">
        <v>227.44155315421361</v>
      </c>
      <c r="AA148" s="4">
        <v>4.7037454608845248</v>
      </c>
      <c r="AB148" s="4">
        <v>2.5148410917868399E-2</v>
      </c>
      <c r="AC148" s="4">
        <v>5.2009723844602938E-4</v>
      </c>
    </row>
    <row r="149" spans="1:29" x14ac:dyDescent="0.25">
      <c r="A149" s="14" t="s">
        <v>209</v>
      </c>
      <c r="B149" s="4">
        <v>10385.47333356223</v>
      </c>
      <c r="C149" s="4">
        <v>11680.04958822811</v>
      </c>
      <c r="D149" s="4">
        <v>2.548147568089815E-2</v>
      </c>
      <c r="E149" s="4">
        <v>2.865780787981026E-2</v>
      </c>
      <c r="F149" s="20">
        <v>3.2350979412948151E-6</v>
      </c>
      <c r="G149" s="20">
        <v>1.1402968389134231E-6</v>
      </c>
      <c r="H149" s="4">
        <v>1.9860894062617152E-2</v>
      </c>
      <c r="I149" s="4">
        <v>7.0005035793544966E-3</v>
      </c>
      <c r="J149" s="4">
        <v>145.43079046214839</v>
      </c>
      <c r="K149" s="4">
        <v>223.7333179474486</v>
      </c>
      <c r="L149" s="4">
        <v>9.2378058530145097E-3</v>
      </c>
      <c r="M149" s="4">
        <v>1.42116050355047E-2</v>
      </c>
      <c r="N149" s="4">
        <v>89.18364095298034</v>
      </c>
      <c r="O149" s="4">
        <v>19.124317070126441</v>
      </c>
      <c r="P149" s="4">
        <v>3.8717532145162693E-2</v>
      </c>
      <c r="Q149" s="4">
        <v>8.3024908268466424E-3</v>
      </c>
      <c r="R149" s="4">
        <v>2124.611805384171</v>
      </c>
      <c r="S149" s="4">
        <v>127.4704243858321</v>
      </c>
      <c r="T149" s="4">
        <v>3.5370565070156103E-2</v>
      </c>
      <c r="U149" s="4">
        <v>2.1221292891405292E-3</v>
      </c>
      <c r="V149" s="4">
        <v>1863.2746117620279</v>
      </c>
      <c r="W149" s="4">
        <v>2914.7481356470639</v>
      </c>
      <c r="X149" s="4">
        <v>1.8328738090792811E-2</v>
      </c>
      <c r="Y149" s="4">
        <v>2.86719170870798E-2</v>
      </c>
      <c r="Z149" s="4">
        <v>112.0121873928742</v>
      </c>
      <c r="AA149" s="4">
        <v>63.241482139578693</v>
      </c>
      <c r="AB149" s="4">
        <v>1.2385285262518839E-2</v>
      </c>
      <c r="AC149" s="4">
        <v>6.9926658424760034E-3</v>
      </c>
    </row>
    <row r="150" spans="1:29" x14ac:dyDescent="0.25">
      <c r="A150" s="14" t="s">
        <v>210</v>
      </c>
      <c r="B150" s="4">
        <v>620691.31312930933</v>
      </c>
      <c r="C150" s="4">
        <v>342226.76012176537</v>
      </c>
      <c r="D150" s="4">
        <v>1.522908979963101</v>
      </c>
      <c r="E150" s="4">
        <v>0.83967697815119335</v>
      </c>
      <c r="F150" s="20">
        <v>1.452515418680105E-4</v>
      </c>
      <c r="G150" s="20">
        <v>5.2009828735020448E-4</v>
      </c>
      <c r="H150" s="4">
        <v>0.89172740294772501</v>
      </c>
      <c r="I150" s="4">
        <v>3.1929843159792251</v>
      </c>
      <c r="J150" s="4">
        <v>10173.3627224584</v>
      </c>
      <c r="K150" s="4">
        <v>13040.250351544781</v>
      </c>
      <c r="L150" s="4">
        <v>0.64621494116698863</v>
      </c>
      <c r="M150" s="4">
        <v>0.82832047216045446</v>
      </c>
      <c r="N150" s="4">
        <v>2538.2644420508859</v>
      </c>
      <c r="O150" s="4">
        <v>10607.368092620531</v>
      </c>
      <c r="P150" s="4">
        <v>1.1019435187653039</v>
      </c>
      <c r="Q150" s="4">
        <v>4.6050050290964712</v>
      </c>
      <c r="R150" s="4">
        <v>63681.488510159063</v>
      </c>
      <c r="S150" s="4">
        <v>23763.120787679101</v>
      </c>
      <c r="T150" s="4">
        <v>1.0601702519984311</v>
      </c>
      <c r="U150" s="4">
        <v>0.39560874507077348</v>
      </c>
      <c r="V150" s="4">
        <v>126928.6900878509</v>
      </c>
      <c r="W150" s="4">
        <v>121254.8642988651</v>
      </c>
      <c r="X150" s="4">
        <v>1.248577478672132</v>
      </c>
      <c r="Y150" s="4">
        <v>1.192764950447555</v>
      </c>
      <c r="Z150" s="4">
        <v>9925.3314215060163</v>
      </c>
      <c r="AA150" s="4">
        <v>11828.20990981865</v>
      </c>
      <c r="AB150" s="4">
        <v>1.097452552633696</v>
      </c>
      <c r="AC150" s="4">
        <v>1.307855486869778</v>
      </c>
    </row>
    <row r="151" spans="1:29" x14ac:dyDescent="0.25">
      <c r="A151" s="14" t="s">
        <v>211</v>
      </c>
      <c r="B151" s="4">
        <v>11442.356060739759</v>
      </c>
      <c r="C151" s="4">
        <v>12957.090306087281</v>
      </c>
      <c r="D151" s="4">
        <v>2.8074610403328579E-2</v>
      </c>
      <c r="E151" s="4">
        <v>3.1791115428777182E-2</v>
      </c>
      <c r="F151" s="20">
        <v>6.6630512633170306E-6</v>
      </c>
      <c r="G151" s="20">
        <v>2.2066689130924132E-6</v>
      </c>
      <c r="H151" s="4">
        <v>4.0905764732909931E-2</v>
      </c>
      <c r="I151" s="4">
        <v>1.354716868221241E-2</v>
      </c>
      <c r="J151" s="4">
        <v>1759.660280287786</v>
      </c>
      <c r="K151" s="4">
        <v>214.5508389137787</v>
      </c>
      <c r="L151" s="4">
        <v>0.1117741297073572</v>
      </c>
      <c r="M151" s="4">
        <v>1.362833131270598E-2</v>
      </c>
      <c r="N151" s="4">
        <v>193.3686127077471</v>
      </c>
      <c r="O151" s="4">
        <v>223.362408575681</v>
      </c>
      <c r="P151" s="4">
        <v>8.3947632081144807E-2</v>
      </c>
      <c r="Q151" s="4">
        <v>9.6968918757301431E-2</v>
      </c>
      <c r="R151" s="4">
        <v>4211.1112541450057</v>
      </c>
      <c r="S151" s="4">
        <v>6983.123481568824</v>
      </c>
      <c r="T151" s="4">
        <v>7.0106635129738248E-2</v>
      </c>
      <c r="U151" s="4">
        <v>0.1162551308770042</v>
      </c>
      <c r="V151" s="4">
        <v>5683.5940642848609</v>
      </c>
      <c r="W151" s="4">
        <v>3327.3706002363961</v>
      </c>
      <c r="X151" s="4">
        <v>5.5908617206000211E-2</v>
      </c>
      <c r="Y151" s="4">
        <v>3.2730819106188733E-2</v>
      </c>
      <c r="Z151" s="4">
        <v>197.31685620459311</v>
      </c>
      <c r="AA151" s="4">
        <v>8.6192033236475805</v>
      </c>
      <c r="AB151" s="4">
        <v>2.181749689992005E-2</v>
      </c>
      <c r="AC151" s="4">
        <v>9.5303282958490764E-4</v>
      </c>
    </row>
    <row r="152" spans="1:29" x14ac:dyDescent="0.25">
      <c r="A152" s="14" t="s">
        <v>212</v>
      </c>
      <c r="B152" s="4">
        <v>30432.566174366089</v>
      </c>
      <c r="C152" s="4">
        <v>7790.6111105998971</v>
      </c>
      <c r="D152" s="4">
        <v>7.4668401715826963E-2</v>
      </c>
      <c r="E152" s="4">
        <v>1.9114802106568501E-2</v>
      </c>
      <c r="F152" s="20">
        <v>1.006642561406698E-5</v>
      </c>
      <c r="G152" s="20">
        <v>6.709317795848351E-5</v>
      </c>
      <c r="H152" s="4">
        <v>6.1799740328783062E-2</v>
      </c>
      <c r="I152" s="4">
        <v>0.4118980395457299</v>
      </c>
      <c r="J152" s="4">
        <v>1406.2288546069119</v>
      </c>
      <c r="K152" s="4">
        <v>16689.365018210559</v>
      </c>
      <c r="L152" s="4">
        <v>8.9324063373957152E-2</v>
      </c>
      <c r="M152" s="4">
        <v>1.060113290716439</v>
      </c>
      <c r="N152" s="4">
        <v>892.68143064738695</v>
      </c>
      <c r="O152" s="4">
        <v>856.76653187807597</v>
      </c>
      <c r="P152" s="4">
        <v>0.38754217272540059</v>
      </c>
      <c r="Q152" s="4">
        <v>0.37195034183879011</v>
      </c>
      <c r="R152" s="4">
        <v>35523.029605646167</v>
      </c>
      <c r="S152" s="4">
        <v>22105.76525259457</v>
      </c>
      <c r="T152" s="4">
        <v>0.59138786058302772</v>
      </c>
      <c r="U152" s="4">
        <v>0.36801706848800558</v>
      </c>
      <c r="V152" s="4">
        <v>15432.601713269611</v>
      </c>
      <c r="W152" s="4">
        <v>73959.905985460384</v>
      </c>
      <c r="X152" s="4">
        <v>0.1518080657979605</v>
      </c>
      <c r="Y152" s="4">
        <v>0.72753191476442192</v>
      </c>
      <c r="Z152" s="4">
        <v>275.37103601198731</v>
      </c>
      <c r="AA152" s="4">
        <v>584.89756252433756</v>
      </c>
      <c r="AB152" s="4">
        <v>3.0448015643883209E-2</v>
      </c>
      <c r="AC152" s="4">
        <v>6.4672633664474941E-2</v>
      </c>
    </row>
    <row r="153" spans="1:29" x14ac:dyDescent="0.25">
      <c r="A153" s="14" t="s">
        <v>213</v>
      </c>
      <c r="B153" s="4">
        <v>94617.627209060403</v>
      </c>
      <c r="C153" s="4">
        <v>6715.8433159333981</v>
      </c>
      <c r="D153" s="4">
        <v>0.23215087933647269</v>
      </c>
      <c r="E153" s="4">
        <v>1.6477785136537599E-2</v>
      </c>
      <c r="F153" s="20">
        <v>3.0982882456105641E-5</v>
      </c>
      <c r="G153" s="20">
        <v>1.2995014106494651E-5</v>
      </c>
      <c r="H153" s="4">
        <v>0.19020992791610719</v>
      </c>
      <c r="I153" s="4">
        <v>7.9778913403779933E-2</v>
      </c>
      <c r="J153" s="4">
        <v>2192.1915278304232</v>
      </c>
      <c r="K153" s="4">
        <v>1634.3955645899</v>
      </c>
      <c r="L153" s="4">
        <v>0.13924863959253181</v>
      </c>
      <c r="M153" s="4">
        <v>0.1038172787532169</v>
      </c>
      <c r="N153" s="4">
        <v>397.69981951336848</v>
      </c>
      <c r="O153" s="4">
        <v>726.10334085953582</v>
      </c>
      <c r="P153" s="4">
        <v>0.1726544844054124</v>
      </c>
      <c r="Q153" s="4">
        <v>0.31522518188353488</v>
      </c>
      <c r="R153" s="4">
        <v>15128.644464107319</v>
      </c>
      <c r="S153" s="4">
        <v>38907.569740027589</v>
      </c>
      <c r="T153" s="4">
        <v>0.2518618705237809</v>
      </c>
      <c r="U153" s="4">
        <v>0.64773372892110104</v>
      </c>
      <c r="V153" s="4">
        <v>9240.6728079347831</v>
      </c>
      <c r="W153" s="4">
        <v>20129.555967153508</v>
      </c>
      <c r="X153" s="4">
        <v>9.0899039041368673E-2</v>
      </c>
      <c r="Y153" s="4">
        <v>0.19801126300809249</v>
      </c>
      <c r="Z153" s="4">
        <v>935.69611659319673</v>
      </c>
      <c r="AA153" s="4">
        <v>1021.510794728163</v>
      </c>
      <c r="AB153" s="4">
        <v>0.1034607357714637</v>
      </c>
      <c r="AC153" s="4">
        <v>0.1129493395845913</v>
      </c>
    </row>
    <row r="154" spans="1:29" x14ac:dyDescent="0.25">
      <c r="A154" s="14" t="s">
        <v>214</v>
      </c>
      <c r="B154" s="4">
        <v>534064.58136736939</v>
      </c>
      <c r="C154" s="4">
        <v>498983.44321463961</v>
      </c>
      <c r="D154" s="4">
        <v>1.3103643141774699</v>
      </c>
      <c r="E154" s="4">
        <v>1.224290320245178</v>
      </c>
      <c r="F154" s="20">
        <v>2.6401533087484888E-4</v>
      </c>
      <c r="G154" s="20">
        <v>2.3832015910742291E-4</v>
      </c>
      <c r="H154" s="4">
        <v>1.6208413508845729</v>
      </c>
      <c r="I154" s="4">
        <v>1.4630937050159769</v>
      </c>
      <c r="J154" s="4">
        <v>26570.873934213549</v>
      </c>
      <c r="K154" s="4">
        <v>9254.372902768313</v>
      </c>
      <c r="L154" s="4">
        <v>1.6877895937248191</v>
      </c>
      <c r="M154" s="4">
        <v>0.58784044214779074</v>
      </c>
      <c r="N154" s="4">
        <v>3484.468908288201</v>
      </c>
      <c r="O154" s="4">
        <v>4354.5511991822914</v>
      </c>
      <c r="P154" s="4">
        <v>1.5127217898246159</v>
      </c>
      <c r="Q154" s="4">
        <v>1.8904529376748089</v>
      </c>
      <c r="R154" s="4">
        <v>122234.5636996239</v>
      </c>
      <c r="S154" s="4">
        <v>133979.84112136159</v>
      </c>
      <c r="T154" s="4">
        <v>2.0349626120889952</v>
      </c>
      <c r="U154" s="4">
        <v>2.230498143925828</v>
      </c>
      <c r="V154" s="4">
        <v>185506.11960839239</v>
      </c>
      <c r="W154" s="4">
        <v>155612.4768634146</v>
      </c>
      <c r="X154" s="4">
        <v>1.8247944017903901</v>
      </c>
      <c r="Y154" s="4">
        <v>1.5307353591813739</v>
      </c>
      <c r="Z154" s="4">
        <v>13566.521743815219</v>
      </c>
      <c r="AA154" s="4">
        <v>6198.6658172881689</v>
      </c>
      <c r="AB154" s="4">
        <v>1.5000621425950771</v>
      </c>
      <c r="AC154" s="4">
        <v>0.6853918861959698</v>
      </c>
    </row>
    <row r="155" spans="1:29" x14ac:dyDescent="0.25">
      <c r="A155" s="14" t="s">
        <v>215</v>
      </c>
      <c r="B155" s="4">
        <v>28917.450643431519</v>
      </c>
      <c r="C155" s="4">
        <v>12948.281741305789</v>
      </c>
      <c r="D155" s="4">
        <v>7.0950961179872304E-2</v>
      </c>
      <c r="E155" s="4">
        <v>3.1769503007074859E-2</v>
      </c>
      <c r="F155" s="20">
        <v>1.2313664067515639E-5</v>
      </c>
      <c r="G155" s="20">
        <v>2.7465148080994372E-5</v>
      </c>
      <c r="H155" s="4">
        <v>7.55959732921411E-2</v>
      </c>
      <c r="I155" s="4">
        <v>0.1686138739380478</v>
      </c>
      <c r="J155" s="4">
        <v>709.2513387942173</v>
      </c>
      <c r="K155" s="4">
        <v>1972.6339563332181</v>
      </c>
      <c r="L155" s="4">
        <v>4.5051850079002927E-2</v>
      </c>
      <c r="M155" s="4">
        <v>0.12530227917872089</v>
      </c>
      <c r="N155" s="4">
        <v>357.87799836002029</v>
      </c>
      <c r="O155" s="4">
        <v>443.9989997091003</v>
      </c>
      <c r="P155" s="4">
        <v>0.15536653087370411</v>
      </c>
      <c r="Q155" s="4">
        <v>0.19275447111113589</v>
      </c>
      <c r="R155" s="4">
        <v>9807.3430412698544</v>
      </c>
      <c r="S155" s="4">
        <v>3173.324674093295</v>
      </c>
      <c r="T155" s="4">
        <v>0.16327277497352191</v>
      </c>
      <c r="U155" s="4">
        <v>5.2829550598045907E-2</v>
      </c>
      <c r="V155" s="4">
        <v>10545.944045609789</v>
      </c>
      <c r="W155" s="4">
        <v>22627.751431611869</v>
      </c>
      <c r="X155" s="4">
        <v>0.1037387860661865</v>
      </c>
      <c r="Y155" s="4">
        <v>0.22258561725443901</v>
      </c>
      <c r="Z155" s="4">
        <v>801.71563353554018</v>
      </c>
      <c r="AA155" s="4">
        <v>82.739920939233656</v>
      </c>
      <c r="AB155" s="4">
        <v>8.8646396895471755E-2</v>
      </c>
      <c r="AC155" s="4">
        <v>9.1486252280424275E-3</v>
      </c>
    </row>
    <row r="156" spans="1:29" x14ac:dyDescent="0.25">
      <c r="A156" s="14" t="s">
        <v>216</v>
      </c>
      <c r="B156" s="4">
        <v>23431.58796070961</v>
      </c>
      <c r="C156" s="4">
        <v>5289.7647374600056</v>
      </c>
      <c r="D156" s="4">
        <v>5.7491018426297537E-2</v>
      </c>
      <c r="E156" s="4">
        <v>1.2978802909219571E-2</v>
      </c>
      <c r="F156" s="20">
        <v>1.147127800654779E-5</v>
      </c>
      <c r="G156" s="20">
        <v>2.1043245342888371E-5</v>
      </c>
      <c r="H156" s="4">
        <v>7.0424401790966873E-2</v>
      </c>
      <c r="I156" s="4">
        <v>0.1291885667985348</v>
      </c>
      <c r="J156" s="4">
        <v>709.80202687309452</v>
      </c>
      <c r="K156" s="4">
        <v>1373.1853302337779</v>
      </c>
      <c r="L156" s="4">
        <v>4.5086829944972658E-2</v>
      </c>
      <c r="M156" s="4">
        <v>8.722512915316151E-2</v>
      </c>
      <c r="N156" s="4">
        <v>253.98308088476949</v>
      </c>
      <c r="O156" s="4">
        <v>1062.9863298835469</v>
      </c>
      <c r="P156" s="4">
        <v>0.11026235297646141</v>
      </c>
      <c r="Q156" s="4">
        <v>0.46147709330271919</v>
      </c>
      <c r="R156" s="4">
        <v>5282.7451867916516</v>
      </c>
      <c r="S156" s="4">
        <v>55258.581730410668</v>
      </c>
      <c r="T156" s="4">
        <v>8.794721082926546E-2</v>
      </c>
      <c r="U156" s="4">
        <v>0.91994558997878317</v>
      </c>
      <c r="V156" s="4">
        <v>11404.082652570891</v>
      </c>
      <c r="W156" s="4">
        <v>8108.4766051578108</v>
      </c>
      <c r="X156" s="4">
        <v>0.11218016001788431</v>
      </c>
      <c r="Y156" s="4">
        <v>7.9761803801274275E-2</v>
      </c>
      <c r="Z156" s="4">
        <v>729.65115541900809</v>
      </c>
      <c r="AA156" s="4">
        <v>63.601861612415931</v>
      </c>
      <c r="AB156" s="4">
        <v>8.0678164691976945E-2</v>
      </c>
      <c r="AC156" s="4">
        <v>7.032513315128156E-3</v>
      </c>
    </row>
    <row r="157" spans="1:29" x14ac:dyDescent="0.25">
      <c r="A157" s="14" t="s">
        <v>217</v>
      </c>
      <c r="B157" s="4">
        <v>102338.5030747612</v>
      </c>
      <c r="C157" s="4">
        <v>794755.84559768171</v>
      </c>
      <c r="D157" s="4">
        <v>0.25109458120620798</v>
      </c>
      <c r="E157" s="4">
        <v>1.949988325173684</v>
      </c>
      <c r="F157" s="20">
        <v>3.2344994474553427E-5</v>
      </c>
      <c r="G157" s="20">
        <v>1.2645308182635391E-4</v>
      </c>
      <c r="H157" s="4">
        <v>0.1985721979279331</v>
      </c>
      <c r="I157" s="4">
        <v>0.77632000873503137</v>
      </c>
      <c r="J157" s="4">
        <v>3055.8930867194181</v>
      </c>
      <c r="K157" s="4">
        <v>18895.777259089911</v>
      </c>
      <c r="L157" s="4">
        <v>0.19411121230225761</v>
      </c>
      <c r="M157" s="4">
        <v>1.2002652341129321</v>
      </c>
      <c r="N157" s="4">
        <v>780.06445056759117</v>
      </c>
      <c r="O157" s="4">
        <v>369.94056718162619</v>
      </c>
      <c r="P157" s="4">
        <v>0.3386514625038986</v>
      </c>
      <c r="Q157" s="4">
        <v>0.16060328608030081</v>
      </c>
      <c r="R157" s="4">
        <v>26957.588704586691</v>
      </c>
      <c r="S157" s="4">
        <v>10993.2383967163</v>
      </c>
      <c r="T157" s="4">
        <v>0.44879028865119008</v>
      </c>
      <c r="U157" s="4">
        <v>0.18301557633135859</v>
      </c>
      <c r="V157" s="4">
        <v>47937.884254701727</v>
      </c>
      <c r="W157" s="4">
        <v>84521.410284100901</v>
      </c>
      <c r="X157" s="4">
        <v>0.47155739663101592</v>
      </c>
      <c r="Y157" s="4">
        <v>0.83142376458225642</v>
      </c>
      <c r="Z157" s="4">
        <v>3372.5587823526789</v>
      </c>
      <c r="AA157" s="4">
        <v>1208.789629396495</v>
      </c>
      <c r="AB157" s="4">
        <v>0.37290676627486702</v>
      </c>
      <c r="AC157" s="4">
        <v>0.13365692368759549</v>
      </c>
    </row>
    <row r="158" spans="1:29" x14ac:dyDescent="0.25">
      <c r="A158" s="14" t="s">
        <v>218</v>
      </c>
      <c r="B158" s="4">
        <v>28434.74291174706</v>
      </c>
      <c r="C158" s="4">
        <v>580994.47467046033</v>
      </c>
      <c r="D158" s="4">
        <v>6.9766604441296967E-2</v>
      </c>
      <c r="E158" s="4">
        <v>1.4255100467311621</v>
      </c>
      <c r="F158" s="20">
        <v>1.5458148308790321E-5</v>
      </c>
      <c r="G158" s="20">
        <v>1.022435665496747E-4</v>
      </c>
      <c r="H158" s="4">
        <v>9.4900572265898833E-2</v>
      </c>
      <c r="I158" s="4">
        <v>0.6276930963686651</v>
      </c>
      <c r="J158" s="4">
        <v>1231.6642716966739</v>
      </c>
      <c r="K158" s="4">
        <v>12378.310025322229</v>
      </c>
      <c r="L158" s="4">
        <v>7.8235670602297525E-2</v>
      </c>
      <c r="M158" s="4">
        <v>0.78627383127723316</v>
      </c>
      <c r="N158" s="4">
        <v>129.19478581132819</v>
      </c>
      <c r="O158" s="4">
        <v>418.01442512501887</v>
      </c>
      <c r="P158" s="4">
        <v>5.6087677282369887E-2</v>
      </c>
      <c r="Q158" s="4">
        <v>0.18147371837456661</v>
      </c>
      <c r="R158" s="4">
        <v>2189.4424572814651</v>
      </c>
      <c r="S158" s="4">
        <v>834.94657585022549</v>
      </c>
      <c r="T158" s="4">
        <v>3.6449866609224398E-2</v>
      </c>
      <c r="U158" s="4">
        <v>1.390020149392625E-2</v>
      </c>
      <c r="V158" s="4">
        <v>6374.1558280911931</v>
      </c>
      <c r="W158" s="4">
        <v>21533.515574818539</v>
      </c>
      <c r="X158" s="4">
        <v>6.270156421682907E-2</v>
      </c>
      <c r="Y158" s="4">
        <v>0.21182179194274589</v>
      </c>
      <c r="Z158" s="4">
        <v>600.15711156001487</v>
      </c>
      <c r="AA158" s="4">
        <v>559.8684703973131</v>
      </c>
      <c r="AB158" s="4">
        <v>6.6359895311472128E-2</v>
      </c>
      <c r="AC158" s="4">
        <v>6.1905145116395909E-2</v>
      </c>
    </row>
    <row r="159" spans="1:29" x14ac:dyDescent="0.25">
      <c r="A159" s="14" t="s">
        <v>219</v>
      </c>
      <c r="B159" s="4">
        <v>4777061.1864906307</v>
      </c>
      <c r="C159" s="4">
        <v>6137173.1127536334</v>
      </c>
      <c r="D159" s="4">
        <v>11.720849357568101</v>
      </c>
      <c r="E159" s="4">
        <v>15.057977850341629</v>
      </c>
      <c r="F159" s="20">
        <v>1.8324504388398191E-3</v>
      </c>
      <c r="G159" s="20">
        <v>7.3543969890199862E-4</v>
      </c>
      <c r="H159" s="4">
        <v>11.249768848181329</v>
      </c>
      <c r="I159" s="4">
        <v>4.5150070305103496</v>
      </c>
      <c r="J159" s="4">
        <v>211750.41760952631</v>
      </c>
      <c r="K159" s="4">
        <v>162668.90871184171</v>
      </c>
      <c r="L159" s="4">
        <v>13.45044774188084</v>
      </c>
      <c r="M159" s="4">
        <v>10.33277610763483</v>
      </c>
      <c r="N159" s="4">
        <v>25281.761264598252</v>
      </c>
      <c r="O159" s="4">
        <v>33628.638363194339</v>
      </c>
      <c r="P159" s="4">
        <v>10.97563851384451</v>
      </c>
      <c r="Q159" s="4">
        <v>14.59929055275374</v>
      </c>
      <c r="R159" s="4">
        <v>565018.41953984136</v>
      </c>
      <c r="S159" s="4">
        <v>932818.40190318867</v>
      </c>
      <c r="T159" s="4">
        <v>9.4064340241002427</v>
      </c>
      <c r="U159" s="4">
        <v>15.529572931648911</v>
      </c>
      <c r="V159" s="4">
        <v>1386755.699285513</v>
      </c>
      <c r="W159" s="4">
        <v>875215.0509744524</v>
      </c>
      <c r="X159" s="4">
        <v>13.64129680492027</v>
      </c>
      <c r="Y159" s="4">
        <v>8.6093522345912827</v>
      </c>
      <c r="Z159" s="4">
        <v>166708.8713714593</v>
      </c>
      <c r="AA159" s="4">
        <v>75030.203321388399</v>
      </c>
      <c r="AB159" s="4">
        <v>18.433145319144401</v>
      </c>
      <c r="AC159" s="4">
        <v>8.2961550262458399</v>
      </c>
    </row>
    <row r="160" spans="1:29" x14ac:dyDescent="0.25">
      <c r="A160" s="14" t="s">
        <v>220</v>
      </c>
      <c r="B160" s="4">
        <v>29381.901437716311</v>
      </c>
      <c r="C160" s="4">
        <v>609321.19265130919</v>
      </c>
      <c r="D160" s="4">
        <v>7.2090523262353018E-2</v>
      </c>
      <c r="E160" s="4">
        <v>1.495011604548083</v>
      </c>
      <c r="F160" s="20">
        <v>4.8512483627533677E-5</v>
      </c>
      <c r="G160" s="20">
        <v>2.4397231357160189E-5</v>
      </c>
      <c r="H160" s="4">
        <v>0.29782755129053812</v>
      </c>
      <c r="I160" s="4">
        <v>0.14977933781250011</v>
      </c>
      <c r="J160" s="4">
        <v>16285.27473073406</v>
      </c>
      <c r="K160" s="4">
        <v>4140.8829049861288</v>
      </c>
      <c r="L160" s="4">
        <v>1.0344453588367171</v>
      </c>
      <c r="M160" s="4">
        <v>0.26303007922029209</v>
      </c>
      <c r="N160" s="4">
        <v>556.23516131688268</v>
      </c>
      <c r="O160" s="4">
        <v>6258.1365475410412</v>
      </c>
      <c r="P160" s="4">
        <v>0.24147985559269169</v>
      </c>
      <c r="Q160" s="4">
        <v>2.71686152705947</v>
      </c>
      <c r="R160" s="4">
        <v>9995.7541881571033</v>
      </c>
      <c r="S160" s="4">
        <v>176237.54450871589</v>
      </c>
      <c r="T160" s="4">
        <v>0.1664094462063701</v>
      </c>
      <c r="U160" s="4">
        <v>2.9340049415393818</v>
      </c>
      <c r="V160" s="4">
        <v>32084.447586345199</v>
      </c>
      <c r="W160" s="4">
        <v>47689.615110076709</v>
      </c>
      <c r="X160" s="4">
        <v>0.31560964384191209</v>
      </c>
      <c r="Y160" s="4">
        <v>0.46911521226423908</v>
      </c>
      <c r="Z160" s="4">
        <v>1312.8266643708739</v>
      </c>
      <c r="AA160" s="4">
        <v>536.52626643909844</v>
      </c>
      <c r="AB160" s="4">
        <v>0.14516038939088469</v>
      </c>
      <c r="AC160" s="4">
        <v>5.9324177264528238E-2</v>
      </c>
    </row>
    <row r="161" spans="1:29" x14ac:dyDescent="0.25">
      <c r="A161" s="14" t="s">
        <v>221</v>
      </c>
      <c r="B161" s="4">
        <v>177088.04865214581</v>
      </c>
      <c r="C161" s="4">
        <v>7734.1458719882348</v>
      </c>
      <c r="D161" s="4">
        <v>0.43449775086559123</v>
      </c>
      <c r="E161" s="4">
        <v>1.897626074612329E-2</v>
      </c>
      <c r="F161" s="20">
        <v>2.193135601291684E-4</v>
      </c>
      <c r="G161" s="20">
        <v>2.2512160372196731E-5</v>
      </c>
      <c r="H161" s="4">
        <v>1.346408505480202</v>
      </c>
      <c r="I161" s="4">
        <v>0.1382065212201567</v>
      </c>
      <c r="J161" s="4">
        <v>6500.9106683685304</v>
      </c>
      <c r="K161" s="4">
        <v>1534.9808113894301</v>
      </c>
      <c r="L161" s="4">
        <v>0.4129397250151764</v>
      </c>
      <c r="M161" s="4">
        <v>9.7502424889926345E-2</v>
      </c>
      <c r="N161" s="4">
        <v>1056.7164607181039</v>
      </c>
      <c r="O161" s="4">
        <v>29.738587558147142</v>
      </c>
      <c r="P161" s="4">
        <v>0.45875513826292719</v>
      </c>
      <c r="Q161" s="4">
        <v>1.2910492411285879E-2</v>
      </c>
      <c r="R161" s="4">
        <v>24210.688872139221</v>
      </c>
      <c r="S161" s="4">
        <v>316.44606494600288</v>
      </c>
      <c r="T161" s="4">
        <v>0.40305986438330088</v>
      </c>
      <c r="U161" s="4">
        <v>5.268198220024267E-3</v>
      </c>
      <c r="V161" s="4">
        <v>31843.280661284469</v>
      </c>
      <c r="W161" s="4">
        <v>29975.767566382361</v>
      </c>
      <c r="X161" s="4">
        <v>0.31323732288734291</v>
      </c>
      <c r="Y161" s="4">
        <v>0.29486689150728063</v>
      </c>
      <c r="Z161" s="4">
        <v>2411.933085757325</v>
      </c>
      <c r="AA161" s="4">
        <v>429.01591239998089</v>
      </c>
      <c r="AB161" s="4">
        <v>0.2666895450977701</v>
      </c>
      <c r="AC161" s="4">
        <v>4.7436663642652727E-2</v>
      </c>
    </row>
    <row r="162" spans="1:29" x14ac:dyDescent="0.25">
      <c r="A162" s="14" t="s">
        <v>222</v>
      </c>
      <c r="B162" s="4">
        <v>731675.27766936121</v>
      </c>
      <c r="C162" s="4">
        <v>1438070.3143289769</v>
      </c>
      <c r="D162" s="4">
        <v>1.7952157976271319</v>
      </c>
      <c r="E162" s="4">
        <v>3.5284047789689348</v>
      </c>
      <c r="F162" s="20">
        <v>3.2684185297841638E-4</v>
      </c>
      <c r="G162" s="20">
        <v>4.7573368759378372E-4</v>
      </c>
      <c r="H162" s="4">
        <v>2.0065455621525059</v>
      </c>
      <c r="I162" s="4">
        <v>2.920621428709103</v>
      </c>
      <c r="J162" s="4">
        <v>27041.97720473852</v>
      </c>
      <c r="K162" s="4">
        <v>10508.06749986628</v>
      </c>
      <c r="L162" s="4">
        <v>1.717714209660689</v>
      </c>
      <c r="M162" s="4">
        <v>0.66747548538836621</v>
      </c>
      <c r="N162" s="4">
        <v>3623.7691306493998</v>
      </c>
      <c r="O162" s="4">
        <v>4850.2418699602567</v>
      </c>
      <c r="P162" s="4">
        <v>1.5731965672553949</v>
      </c>
      <c r="Q162" s="4">
        <v>2.105648451951037</v>
      </c>
      <c r="R162" s="4">
        <v>99143.354507139404</v>
      </c>
      <c r="S162" s="4">
        <v>27085.49904573763</v>
      </c>
      <c r="T162" s="4">
        <v>1.6505398600259771</v>
      </c>
      <c r="U162" s="4">
        <v>0.45091974168037868</v>
      </c>
      <c r="V162" s="4">
        <v>148616.53966865849</v>
      </c>
      <c r="W162" s="4">
        <v>153099.19494871961</v>
      </c>
      <c r="X162" s="4">
        <v>1.461917429857976</v>
      </c>
      <c r="Y162" s="4">
        <v>1.506012601906638</v>
      </c>
      <c r="Z162" s="4">
        <v>9129.3474896421721</v>
      </c>
      <c r="AA162" s="4">
        <v>5742.2548188506689</v>
      </c>
      <c r="AB162" s="4">
        <v>1.009439914991533</v>
      </c>
      <c r="AC162" s="4">
        <v>0.63492612399481951</v>
      </c>
    </row>
    <row r="163" spans="1:29" x14ac:dyDescent="0.25">
      <c r="A163" s="14" t="s">
        <v>223</v>
      </c>
      <c r="B163" s="4">
        <v>24462.220291199588</v>
      </c>
      <c r="C163" s="4">
        <v>164.91051653609341</v>
      </c>
      <c r="D163" s="4">
        <v>6.001974598852218E-2</v>
      </c>
      <c r="E163" s="4">
        <v>4.0461933526504652E-4</v>
      </c>
      <c r="F163" s="20">
        <v>1.6892868623870609E-5</v>
      </c>
      <c r="G163" s="20">
        <v>8.848070513084113E-7</v>
      </c>
      <c r="H163" s="4">
        <v>0.10370859870107051</v>
      </c>
      <c r="I163" s="4">
        <v>5.4320021930648506E-3</v>
      </c>
      <c r="J163" s="4">
        <v>1515.7752865449461</v>
      </c>
      <c r="K163" s="4">
        <v>115.0244986752501</v>
      </c>
      <c r="L163" s="4">
        <v>9.6282484399643667E-2</v>
      </c>
      <c r="M163" s="4">
        <v>7.306389408499047E-3</v>
      </c>
      <c r="N163" s="4">
        <v>472.7874671625849</v>
      </c>
      <c r="O163" s="4">
        <v>34.689339126871033</v>
      </c>
      <c r="P163" s="4">
        <v>0.20525248534479909</v>
      </c>
      <c r="Q163" s="4">
        <v>1.505977540709719E-2</v>
      </c>
      <c r="R163" s="4">
        <v>11441.203905977831</v>
      </c>
      <c r="S163" s="4">
        <v>1611.612304591793</v>
      </c>
      <c r="T163" s="4">
        <v>0.1904733119771678</v>
      </c>
      <c r="U163" s="4">
        <v>2.6830142684404819E-2</v>
      </c>
      <c r="V163" s="4">
        <v>6324.3388063511438</v>
      </c>
      <c r="W163" s="4">
        <v>4501.6489846613385</v>
      </c>
      <c r="X163" s="4">
        <v>6.2211522041525018E-2</v>
      </c>
      <c r="Y163" s="4">
        <v>4.4282010121157039E-2</v>
      </c>
      <c r="Z163" s="4">
        <v>227.3173849275112</v>
      </c>
      <c r="AA163" s="4">
        <v>15.26849037412415</v>
      </c>
      <c r="AB163" s="4">
        <v>2.5134681528736331E-2</v>
      </c>
      <c r="AC163" s="4">
        <v>1.6882502985883199E-3</v>
      </c>
    </row>
    <row r="164" spans="1:29" x14ac:dyDescent="0.25">
      <c r="A164" s="14" t="s">
        <v>224</v>
      </c>
      <c r="B164" s="4">
        <v>169043.1860609983</v>
      </c>
      <c r="C164" s="4">
        <v>153019.95886840901</v>
      </c>
      <c r="D164" s="4">
        <v>0.41475912520179792</v>
      </c>
      <c r="E164" s="4">
        <v>0.3754450312819762</v>
      </c>
      <c r="F164" s="20">
        <v>6.1352503342988944E-5</v>
      </c>
      <c r="G164" s="20">
        <v>2.9126343087337679E-4</v>
      </c>
      <c r="H164" s="4">
        <v>0.37665492404961609</v>
      </c>
      <c r="I164" s="4">
        <v>1.7881227245241491</v>
      </c>
      <c r="J164" s="4">
        <v>5605.4811141010896</v>
      </c>
      <c r="K164" s="4">
        <v>11860.515974284381</v>
      </c>
      <c r="L164" s="4">
        <v>0.35606178086670631</v>
      </c>
      <c r="M164" s="4">
        <v>0.75338340346525967</v>
      </c>
      <c r="N164" s="4">
        <v>1129.716285206285</v>
      </c>
      <c r="O164" s="4">
        <v>1203.823862804262</v>
      </c>
      <c r="P164" s="4">
        <v>0.49044674695944251</v>
      </c>
      <c r="Q164" s="4">
        <v>0.52261926747094045</v>
      </c>
      <c r="R164" s="4">
        <v>24758.809100538369</v>
      </c>
      <c r="S164" s="4">
        <v>21306.297482856891</v>
      </c>
      <c r="T164" s="4">
        <v>0.4121849771007064</v>
      </c>
      <c r="U164" s="4">
        <v>0.35470751862137201</v>
      </c>
      <c r="V164" s="4">
        <v>49573.134295977143</v>
      </c>
      <c r="W164" s="4">
        <v>213788.53569213199</v>
      </c>
      <c r="X164" s="4">
        <v>0.48764309303362591</v>
      </c>
      <c r="Y164" s="4">
        <v>2.1030040621922321</v>
      </c>
      <c r="Z164" s="4">
        <v>3705.7173442120929</v>
      </c>
      <c r="AA164" s="4">
        <v>2730.304592699958</v>
      </c>
      <c r="AB164" s="4">
        <v>0.40974439905679638</v>
      </c>
      <c r="AC164" s="4">
        <v>0.30189216031956118</v>
      </c>
    </row>
    <row r="165" spans="1:29" x14ac:dyDescent="0.25">
      <c r="A165" s="14" t="s">
        <v>225</v>
      </c>
      <c r="B165" s="4">
        <v>6523.4328927991082</v>
      </c>
      <c r="C165" s="4">
        <v>99784.907419959432</v>
      </c>
      <c r="D165" s="4">
        <v>1.6005692882253598E-2</v>
      </c>
      <c r="E165" s="4">
        <v>0.24482915800528399</v>
      </c>
      <c r="F165" s="20">
        <v>9.1446742788247856E-6</v>
      </c>
      <c r="G165" s="20">
        <v>7.2100578141048969E-6</v>
      </c>
      <c r="H165" s="4">
        <v>5.6140930007264903E-2</v>
      </c>
      <c r="I165" s="4">
        <v>4.4263944099933103E-2</v>
      </c>
      <c r="J165" s="4">
        <v>429.52776978373549</v>
      </c>
      <c r="K165" s="4">
        <v>3870.8481045079461</v>
      </c>
      <c r="L165" s="4">
        <v>2.728372810964811E-2</v>
      </c>
      <c r="M165" s="4">
        <v>0.24587739062905309</v>
      </c>
      <c r="N165" s="4">
        <v>85.431867017026519</v>
      </c>
      <c r="O165" s="4">
        <v>49.310019522139193</v>
      </c>
      <c r="P165" s="4">
        <v>3.708876451003934E-2</v>
      </c>
      <c r="Q165" s="4">
        <v>2.1407090420692481E-2</v>
      </c>
      <c r="R165" s="4">
        <v>2030.5793104414199</v>
      </c>
      <c r="S165" s="4">
        <v>210.47563230708209</v>
      </c>
      <c r="T165" s="4">
        <v>3.3805110866873857E-2</v>
      </c>
      <c r="U165" s="4">
        <v>3.504001074141522E-3</v>
      </c>
      <c r="V165" s="4">
        <v>6310.76680807095</v>
      </c>
      <c r="W165" s="4">
        <v>8936.6289758429102</v>
      </c>
      <c r="X165" s="4">
        <v>6.2078016437854967E-2</v>
      </c>
      <c r="Y165" s="4">
        <v>8.7908207882421582E-2</v>
      </c>
      <c r="Z165" s="4">
        <v>405.84115397971158</v>
      </c>
      <c r="AA165" s="4">
        <v>180.98767146052029</v>
      </c>
      <c r="AB165" s="4">
        <v>4.4874210389969818E-2</v>
      </c>
      <c r="AC165" s="4">
        <v>2.001196469965719E-2</v>
      </c>
    </row>
    <row r="166" spans="1:29" x14ac:dyDescent="0.25">
      <c r="A166" s="14" t="s">
        <v>226</v>
      </c>
      <c r="B166" s="4">
        <v>23434.636685941408</v>
      </c>
      <c r="C166" s="4">
        <v>54411.138789968609</v>
      </c>
      <c r="D166" s="4">
        <v>5.7498498684091938E-2</v>
      </c>
      <c r="E166" s="4">
        <v>0.1335014847485046</v>
      </c>
      <c r="F166" s="20">
        <v>2.6474329089873131E-5</v>
      </c>
      <c r="G166" s="20">
        <v>1.894010436949191E-6</v>
      </c>
      <c r="H166" s="4">
        <v>0.16253104387386369</v>
      </c>
      <c r="I166" s="4">
        <v>1.1627697622868071E-2</v>
      </c>
      <c r="J166" s="4">
        <v>886.22388219247205</v>
      </c>
      <c r="K166" s="4">
        <v>257.04170323840953</v>
      </c>
      <c r="L166" s="4">
        <v>5.629319719698319E-2</v>
      </c>
      <c r="M166" s="4">
        <v>1.6327363298369851E-2</v>
      </c>
      <c r="N166" s="4">
        <v>188.80357490581659</v>
      </c>
      <c r="O166" s="4">
        <v>75.870523213519704</v>
      </c>
      <c r="P166" s="4">
        <v>8.1965800032671787E-2</v>
      </c>
      <c r="Q166" s="4">
        <v>3.2937872798201727E-2</v>
      </c>
      <c r="R166" s="4">
        <v>3793.0818048949332</v>
      </c>
      <c r="S166" s="4">
        <v>384.10133331150621</v>
      </c>
      <c r="T166" s="4">
        <v>6.3147275401777211E-2</v>
      </c>
      <c r="U166" s="4">
        <v>6.3945240109271398E-3</v>
      </c>
      <c r="V166" s="4">
        <v>7118.3436125874387</v>
      </c>
      <c r="W166" s="4">
        <v>8029.964564013454</v>
      </c>
      <c r="X166" s="4">
        <v>7.0022021924080399E-2</v>
      </c>
      <c r="Y166" s="4">
        <v>7.898949325186598E-2</v>
      </c>
      <c r="Z166" s="4">
        <v>302.54159259641642</v>
      </c>
      <c r="AA166" s="4">
        <v>73.289837483418594</v>
      </c>
      <c r="AB166" s="4">
        <v>3.3452287784907143E-2</v>
      </c>
      <c r="AC166" s="4">
        <v>8.103721257509619E-3</v>
      </c>
    </row>
  </sheetData>
  <mergeCells count="7">
    <mergeCell ref="Z1:AC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Figure 1 </vt:lpstr>
      <vt:lpstr>Figure 2</vt:lpstr>
      <vt:lpstr>Figure 3 - Sankeys Data</vt:lpstr>
      <vt:lpstr>Figure 4 - Radar Charts</vt:lpstr>
      <vt:lpstr>Ratios and Shares</vt:lpstr>
      <vt:lpstr>Results per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Santos Carneiro</dc:creator>
  <cp:lastModifiedBy>SANTOS CARNEIRO Gabriel</cp:lastModifiedBy>
  <dcterms:created xsi:type="dcterms:W3CDTF">2025-11-04T09:48:10Z</dcterms:created>
  <dcterms:modified xsi:type="dcterms:W3CDTF">2025-11-04T12:42:26Z</dcterms:modified>
</cp:coreProperties>
</file>